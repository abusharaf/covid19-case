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ef3b1b8d0934034" Type="http://schemas.microsoft.com/office/2006/relationships/ui/extensibility"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filterPrivacy="1" codeName="ThisWorkbook" hidePivotFieldList="1"/>
  <xr:revisionPtr revIDLastSave="0" documentId="13_ncr:1_{15610838-8E0B-4B3A-BFDD-715486D6A931}" xr6:coauthVersionLast="45" xr6:coauthVersionMax="45" xr10:uidLastSave="{00000000-0000-0000-0000-000000000000}"/>
  <bookViews>
    <workbookView xWindow="-120" yWindow="-120" windowWidth="29040" windowHeight="15840" tabRatio="897" xr2:uid="{00000000-000D-0000-FFFF-FFFF00000000}"/>
  </bookViews>
  <sheets>
    <sheet name="1. Introduction" sheetId="4" r:id="rId1"/>
    <sheet name="2. Data Review" sheetId="20" r:id="rId2"/>
    <sheet name="3. Setup &amp; Role Data" sheetId="5" r:id="rId3"/>
    <sheet name="4. Employee Info" sheetId="15" r:id="rId4"/>
    <sheet name="5. Workforce Profile" sheetId="27" r:id="rId5"/>
    <sheet name="6. Role Evaluation" sheetId="23" r:id="rId6"/>
    <sheet name="7. Demand &amp; Supply Forecast" sheetId="24" r:id="rId7"/>
    <sheet name="8. Forecast Summary" sheetId="6" r:id="rId8"/>
    <sheet name="9. Action Plan" sheetId="28" r:id="rId9"/>
    <sheet name="Hidden-Forecast Calculations" sheetId="22" state="hidden" r:id="rId10"/>
    <sheet name="Hidden-Menus" sheetId="18" state="hidden" r:id="rId11"/>
    <sheet name="Hidden-Dashboard1" sheetId="26" state="hidden" r:id="rId12"/>
  </sheets>
  <externalReferences>
    <externalReference r:id="rId13"/>
  </externalReferences>
  <definedNames>
    <definedName name="action">'Hidden-Menus'!$L$3:$L$5</definedName>
    <definedName name="Answer">'Hidden-Menus'!$K$3:$K$4</definedName>
    <definedName name="change">'Hidden-Menus'!$E$3:$E$5</definedName>
    <definedName name="change2">'Hidden-Menus'!$F$3:$F$5</definedName>
    <definedName name="Classification">'6. Role Evaluation'!$E$5:$E$10</definedName>
    <definedName name="Dept">'3. Setup &amp; Role Data'!$C$8:$C$59</definedName>
    <definedName name="DeptDropdown">OFFSET(Dept,0,0,'Hidden-Menus'!$I$3,1)</definedName>
    <definedName name="Diversity">'3. Setup &amp; Role Data'!$E$8:$E$22</definedName>
    <definedName name="DiversityDropdown">OFFSET(Diversity,0,0,'Hidden-Menus'!$J$3,1)</definedName>
    <definedName name="gender">'Hidden-Menus'!$C$3:$C$5</definedName>
    <definedName name="In_progress">[1]Calculations!$L$12:$L$14</definedName>
    <definedName name="Include">'Hidden-Forecast Calculations'!$D$3:$D$103</definedName>
    <definedName name="level">'Hidden-Menus'!$G$3:$G$7</definedName>
    <definedName name="quality">'Hidden-Menus'!$B$3:$B$5</definedName>
    <definedName name="Role">'3. Setup &amp; Role Data'!$G$9:$G$109</definedName>
    <definedName name="roleclass">'Hidden-Menus'!$D$3:$D$5</definedName>
    <definedName name="RoleDropdown">OFFSET(Role,0,0,'Hidden-Menus'!$H$3,1)</definedName>
    <definedName name="Slicer_Department">#N/A</definedName>
    <definedName name="Slicer_Role">#N/A</definedName>
  </definedNames>
  <calcPr calcId="191029" concurrentCalc="0"/>
  <pivotCaches>
    <pivotCache cacheId="9"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3" l="1"/>
  <c r="B12" i="23"/>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O24" i="27"/>
  <c r="O25" i="27"/>
  <c r="O26" i="27"/>
  <c r="O27" i="27"/>
  <c r="O28" i="27"/>
  <c r="O23" i="27"/>
  <c r="O8" i="27"/>
  <c r="O9" i="27"/>
  <c r="O10" i="27"/>
  <c r="O7" i="27"/>
  <c r="K6" i="15"/>
  <c r="P6" i="15"/>
  <c r="K7" i="15"/>
  <c r="P7" i="15"/>
  <c r="K8" i="15"/>
  <c r="P8" i="15"/>
  <c r="K9" i="15"/>
  <c r="P9" i="15"/>
  <c r="K10" i="15"/>
  <c r="P10" i="15"/>
  <c r="K11" i="15"/>
  <c r="P11" i="15"/>
  <c r="K12" i="15"/>
  <c r="P12" i="15"/>
  <c r="K13" i="15"/>
  <c r="P13" i="15"/>
  <c r="K14" i="15"/>
  <c r="P14" i="15"/>
  <c r="K15" i="15"/>
  <c r="P15" i="15"/>
  <c r="K16" i="15"/>
  <c r="P16" i="15"/>
  <c r="K17" i="15"/>
  <c r="P17" i="15"/>
  <c r="K18" i="15"/>
  <c r="P18" i="15"/>
  <c r="K19" i="15"/>
  <c r="P19" i="15"/>
  <c r="K20" i="15"/>
  <c r="P20" i="15"/>
  <c r="K21" i="15"/>
  <c r="P21" i="15"/>
  <c r="K22" i="15"/>
  <c r="P22" i="15"/>
  <c r="K23" i="15"/>
  <c r="P23" i="15"/>
  <c r="K24" i="15"/>
  <c r="P24" i="15"/>
  <c r="K25" i="15"/>
  <c r="P25" i="15"/>
  <c r="K26" i="15"/>
  <c r="P26" i="15"/>
  <c r="K27" i="15"/>
  <c r="P27" i="15"/>
  <c r="K28" i="15"/>
  <c r="P28" i="15"/>
  <c r="K29" i="15"/>
  <c r="P29" i="15"/>
  <c r="K30" i="15"/>
  <c r="P30" i="15"/>
  <c r="K31" i="15"/>
  <c r="P31" i="15"/>
  <c r="K32" i="15"/>
  <c r="P32" i="15"/>
  <c r="K33" i="15"/>
  <c r="P33" i="15"/>
  <c r="K34" i="15"/>
  <c r="P34" i="15"/>
  <c r="K35" i="15"/>
  <c r="P35" i="15"/>
  <c r="K36" i="15"/>
  <c r="P36" i="15"/>
  <c r="K37" i="15"/>
  <c r="P37" i="15"/>
  <c r="K38" i="15"/>
  <c r="P38" i="15"/>
  <c r="K39" i="15"/>
  <c r="P39" i="15"/>
  <c r="K40" i="15"/>
  <c r="P40" i="15"/>
  <c r="K41" i="15"/>
  <c r="P41" i="15"/>
  <c r="K42" i="15"/>
  <c r="P42" i="15"/>
  <c r="K43" i="15"/>
  <c r="P43" i="15"/>
  <c r="K44" i="15"/>
  <c r="P44" i="15"/>
  <c r="K45" i="15"/>
  <c r="P45" i="15"/>
  <c r="K46" i="15"/>
  <c r="P46" i="15"/>
  <c r="K47" i="15"/>
  <c r="P47" i="15"/>
  <c r="K48" i="15"/>
  <c r="P48" i="15"/>
  <c r="K49" i="15"/>
  <c r="P49" i="15"/>
  <c r="K50" i="15"/>
  <c r="P50" i="15"/>
  <c r="K51" i="15"/>
  <c r="P51" i="15"/>
  <c r="K52" i="15"/>
  <c r="P52" i="15"/>
  <c r="K53" i="15"/>
  <c r="P53" i="15"/>
  <c r="K54" i="15"/>
  <c r="P54" i="15"/>
  <c r="K55" i="15"/>
  <c r="P55" i="15"/>
  <c r="K56" i="15"/>
  <c r="P56" i="15"/>
  <c r="K57" i="15"/>
  <c r="P57" i="15"/>
  <c r="K58" i="15"/>
  <c r="P58" i="15"/>
  <c r="K59" i="15"/>
  <c r="P59" i="15"/>
  <c r="K60" i="15"/>
  <c r="P60" i="15"/>
  <c r="K61" i="15"/>
  <c r="P61" i="15"/>
  <c r="K62" i="15"/>
  <c r="P62" i="15"/>
  <c r="K63" i="15"/>
  <c r="P63" i="15"/>
  <c r="K64" i="15"/>
  <c r="P64" i="15"/>
  <c r="K65" i="15"/>
  <c r="P65" i="15"/>
  <c r="K66" i="15"/>
  <c r="P66" i="15"/>
  <c r="K67" i="15"/>
  <c r="P67" i="15"/>
  <c r="J66" i="15"/>
  <c r="O66" i="15"/>
  <c r="J67" i="15"/>
  <c r="O67" i="15"/>
  <c r="L66" i="15"/>
  <c r="M66" i="15"/>
  <c r="L67" i="15"/>
  <c r="M67" i="1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0" i="5"/>
  <c r="I11" i="5"/>
  <c r="I12" i="5"/>
  <c r="I13" i="5"/>
  <c r="I14" i="5"/>
  <c r="I15" i="5"/>
  <c r="I9" i="5"/>
  <c r="O13" i="27"/>
  <c r="O14" i="27"/>
  <c r="O15" i="27"/>
  <c r="O16" i="27"/>
  <c r="J6" i="15"/>
  <c r="O6" i="15"/>
  <c r="J7" i="15"/>
  <c r="O7" i="15"/>
  <c r="J8" i="15"/>
  <c r="O8" i="15"/>
  <c r="J9" i="15"/>
  <c r="O9" i="15"/>
  <c r="J10" i="15"/>
  <c r="O10" i="15"/>
  <c r="J11" i="15"/>
  <c r="O11" i="15"/>
  <c r="J12" i="15"/>
  <c r="O12" i="15"/>
  <c r="J13" i="15"/>
  <c r="O13" i="15"/>
  <c r="J14" i="15"/>
  <c r="O14" i="15"/>
  <c r="J15" i="15"/>
  <c r="O15" i="15"/>
  <c r="J16" i="15"/>
  <c r="O16" i="15"/>
  <c r="J17" i="15"/>
  <c r="O17" i="15"/>
  <c r="J18" i="15"/>
  <c r="O18" i="15"/>
  <c r="J19" i="15"/>
  <c r="O19" i="15"/>
  <c r="J20" i="15"/>
  <c r="O20" i="15"/>
  <c r="J21" i="15"/>
  <c r="O21" i="15"/>
  <c r="J22" i="15"/>
  <c r="O22" i="15"/>
  <c r="J23" i="15"/>
  <c r="O23" i="15"/>
  <c r="J24" i="15"/>
  <c r="O24" i="15"/>
  <c r="J25" i="15"/>
  <c r="O25" i="15"/>
  <c r="J26" i="15"/>
  <c r="O26" i="15"/>
  <c r="J27" i="15"/>
  <c r="O27" i="15"/>
  <c r="J28" i="15"/>
  <c r="O28" i="15"/>
  <c r="J29" i="15"/>
  <c r="O29" i="15"/>
  <c r="J30" i="15"/>
  <c r="O30" i="15"/>
  <c r="J31" i="15"/>
  <c r="O31" i="15"/>
  <c r="J32" i="15"/>
  <c r="O32" i="15"/>
  <c r="J33" i="15"/>
  <c r="O33" i="15"/>
  <c r="J34" i="15"/>
  <c r="O34" i="15"/>
  <c r="J35" i="15"/>
  <c r="O35" i="15"/>
  <c r="J36" i="15"/>
  <c r="O36" i="15"/>
  <c r="J37" i="15"/>
  <c r="O37" i="15"/>
  <c r="J38" i="15"/>
  <c r="O38" i="15"/>
  <c r="J39" i="15"/>
  <c r="O39" i="15"/>
  <c r="J40" i="15"/>
  <c r="O40" i="15"/>
  <c r="J41" i="15"/>
  <c r="O41" i="15"/>
  <c r="J42" i="15"/>
  <c r="O42" i="15"/>
  <c r="J43" i="15"/>
  <c r="O43" i="15"/>
  <c r="J44" i="15"/>
  <c r="O44" i="15"/>
  <c r="J45" i="15"/>
  <c r="O45" i="15"/>
  <c r="J46" i="15"/>
  <c r="O46" i="15"/>
  <c r="J47" i="15"/>
  <c r="O47" i="15"/>
  <c r="J48" i="15"/>
  <c r="O48" i="15"/>
  <c r="J49" i="15"/>
  <c r="O49" i="15"/>
  <c r="J50" i="15"/>
  <c r="O50" i="15"/>
  <c r="J51" i="15"/>
  <c r="O51" i="15"/>
  <c r="J52" i="15"/>
  <c r="O52" i="15"/>
  <c r="J53" i="15"/>
  <c r="O53" i="15"/>
  <c r="J54" i="15"/>
  <c r="O54" i="15"/>
  <c r="J55" i="15"/>
  <c r="O55" i="15"/>
  <c r="J56" i="15"/>
  <c r="O56" i="15"/>
  <c r="J57" i="15"/>
  <c r="O57" i="15"/>
  <c r="J58" i="15"/>
  <c r="O58" i="15"/>
  <c r="J59" i="15"/>
  <c r="O59" i="15"/>
  <c r="J60" i="15"/>
  <c r="O60" i="15"/>
  <c r="J61" i="15"/>
  <c r="O61" i="15"/>
  <c r="J62" i="15"/>
  <c r="O62" i="15"/>
  <c r="J63" i="15"/>
  <c r="O63" i="15"/>
  <c r="J64" i="15"/>
  <c r="O64" i="15"/>
  <c r="J65" i="15"/>
  <c r="O65" i="15"/>
  <c r="L6" i="15"/>
  <c r="Q6" i="15"/>
  <c r="L17" i="15"/>
  <c r="Q17" i="15"/>
  <c r="L18" i="15"/>
  <c r="Q18" i="15"/>
  <c r="L7" i="15"/>
  <c r="Q7" i="15"/>
  <c r="L8" i="15"/>
  <c r="Q8" i="15"/>
  <c r="L9" i="15"/>
  <c r="Q9" i="15"/>
  <c r="L10" i="15"/>
  <c r="Q10" i="15"/>
  <c r="L11" i="15"/>
  <c r="Q11" i="15"/>
  <c r="L12" i="15"/>
  <c r="Q12" i="15"/>
  <c r="L13" i="15"/>
  <c r="Q13" i="15"/>
  <c r="L14" i="15"/>
  <c r="Q14" i="15"/>
  <c r="L15" i="15"/>
  <c r="Q15" i="15"/>
  <c r="L16" i="15"/>
  <c r="Q16" i="15"/>
  <c r="L19" i="15"/>
  <c r="Q19" i="15"/>
  <c r="L20" i="15"/>
  <c r="Q20" i="15"/>
  <c r="L21" i="15"/>
  <c r="Q21" i="15"/>
  <c r="L22" i="15"/>
  <c r="Q22" i="15"/>
  <c r="L23" i="15"/>
  <c r="Q23" i="15"/>
  <c r="L24" i="15"/>
  <c r="Q24" i="15"/>
  <c r="L25" i="15"/>
  <c r="Q25" i="15"/>
  <c r="L26" i="15"/>
  <c r="Q26" i="15"/>
  <c r="L27" i="15"/>
  <c r="Q27" i="15"/>
  <c r="L28" i="15"/>
  <c r="Q28" i="15"/>
  <c r="L29" i="15"/>
  <c r="Q29" i="15"/>
  <c r="L30" i="15"/>
  <c r="Q30" i="15"/>
  <c r="L31" i="15"/>
  <c r="Q31" i="15"/>
  <c r="L32" i="15"/>
  <c r="Q32" i="15"/>
  <c r="L33" i="15"/>
  <c r="Q33" i="15"/>
  <c r="L34" i="15"/>
  <c r="Q34" i="15"/>
  <c r="L35" i="15"/>
  <c r="Q35" i="15"/>
  <c r="L36" i="15"/>
  <c r="Q36" i="15"/>
  <c r="L37" i="15"/>
  <c r="Q37" i="15"/>
  <c r="L38" i="15"/>
  <c r="Q38" i="15"/>
  <c r="L39" i="15"/>
  <c r="Q39" i="15"/>
  <c r="L40" i="15"/>
  <c r="Q40" i="15"/>
  <c r="L41" i="15"/>
  <c r="Q41" i="15"/>
  <c r="L42" i="15"/>
  <c r="Q42" i="15"/>
  <c r="L43" i="15"/>
  <c r="Q43" i="15"/>
  <c r="L44" i="15"/>
  <c r="Q44" i="15"/>
  <c r="L45" i="15"/>
  <c r="Q45" i="15"/>
  <c r="L46" i="15"/>
  <c r="Q46" i="15"/>
  <c r="L47" i="15"/>
  <c r="Q47" i="15"/>
  <c r="L48" i="15"/>
  <c r="Q48" i="15"/>
  <c r="L49" i="15"/>
  <c r="Q49" i="15"/>
  <c r="L50" i="15"/>
  <c r="Q50" i="15"/>
  <c r="L51" i="15"/>
  <c r="Q51" i="15"/>
  <c r="L52" i="15"/>
  <c r="Q52" i="15"/>
  <c r="L53" i="15"/>
  <c r="Q53" i="15"/>
  <c r="L54" i="15"/>
  <c r="Q54" i="15"/>
  <c r="L55" i="15"/>
  <c r="Q55" i="15"/>
  <c r="L56" i="15"/>
  <c r="Q56" i="15"/>
  <c r="L57" i="15"/>
  <c r="Q57" i="15"/>
  <c r="L58" i="15"/>
  <c r="Q58" i="15"/>
  <c r="L59" i="15"/>
  <c r="Q59" i="15"/>
  <c r="L60" i="15"/>
  <c r="Q60" i="15"/>
  <c r="L61" i="15"/>
  <c r="Q61" i="15"/>
  <c r="L62" i="15"/>
  <c r="Q62" i="15"/>
  <c r="L63" i="15"/>
  <c r="Q63" i="15"/>
  <c r="L64" i="15"/>
  <c r="Q64" i="15"/>
  <c r="L65" i="15"/>
  <c r="Q65" i="15"/>
  <c r="B6" i="23"/>
  <c r="B7" i="23"/>
  <c r="B8" i="23"/>
  <c r="B9" i="23"/>
  <c r="B10" i="23"/>
  <c r="B13" i="23"/>
  <c r="B14" i="23"/>
  <c r="B15" i="23"/>
  <c r="B16" i="23"/>
  <c r="B17" i="23"/>
  <c r="B18" i="23"/>
  <c r="B19" i="23"/>
  <c r="B20" i="23"/>
  <c r="B21" i="23"/>
  <c r="B22" i="23"/>
  <c r="B23" i="23"/>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61" i="23"/>
  <c r="B62" i="23"/>
  <c r="B63" i="23"/>
  <c r="B64" i="23"/>
  <c r="B65" i="23"/>
  <c r="B66" i="23"/>
  <c r="B67" i="23"/>
  <c r="B68" i="23"/>
  <c r="B69" i="23"/>
  <c r="B70" i="23"/>
  <c r="B71" i="23"/>
  <c r="B72" i="23"/>
  <c r="B73" i="23"/>
  <c r="B74" i="23"/>
  <c r="B75" i="23"/>
  <c r="B76" i="23"/>
  <c r="B77" i="23"/>
  <c r="B78" i="23"/>
  <c r="B79" i="23"/>
  <c r="B80" i="23"/>
  <c r="B81" i="23"/>
  <c r="B82" i="23"/>
  <c r="B83" i="23"/>
  <c r="B84" i="23"/>
  <c r="B85" i="23"/>
  <c r="B86" i="23"/>
  <c r="B87" i="23"/>
  <c r="B88" i="23"/>
  <c r="B89" i="23"/>
  <c r="B90" i="23"/>
  <c r="B91" i="23"/>
  <c r="B92" i="23"/>
  <c r="B93" i="23"/>
  <c r="B94" i="23"/>
  <c r="B95" i="23"/>
  <c r="B96" i="23"/>
  <c r="B97" i="23"/>
  <c r="B98" i="23"/>
  <c r="B99" i="23"/>
  <c r="B100" i="23"/>
  <c r="B101" i="23"/>
  <c r="B102" i="23"/>
  <c r="B103" i="23"/>
  <c r="B104" i="23"/>
  <c r="B5" i="23"/>
  <c r="C8" i="22"/>
  <c r="D8" i="22"/>
  <c r="C9" i="22"/>
  <c r="C10" i="22"/>
  <c r="D10" i="22"/>
  <c r="C11" i="22"/>
  <c r="D11" i="22"/>
  <c r="C12" i="22"/>
  <c r="D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3" i="22"/>
  <c r="C4" i="22"/>
  <c r="C5" i="22"/>
  <c r="C6" i="22"/>
  <c r="D6" i="22"/>
  <c r="C7" i="22"/>
  <c r="B7" i="22"/>
  <c r="D7" i="22"/>
  <c r="C103" i="22"/>
  <c r="D103" i="22"/>
  <c r="B5" i="22"/>
  <c r="B3" i="22"/>
  <c r="B4" i="22"/>
  <c r="D4" i="22"/>
  <c r="B6" i="22"/>
  <c r="B8" i="22"/>
  <c r="B9" i="22"/>
  <c r="D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J3" i="18"/>
  <c r="I3" i="18"/>
  <c r="H3" i="18"/>
  <c r="D3" i="22"/>
  <c r="D5" i="22"/>
  <c r="M39" i="15"/>
  <c r="M17" i="15"/>
  <c r="O20" i="27"/>
  <c r="E35" i="22" a="1"/>
  <c r="E91" i="22" a="1"/>
  <c r="E3" i="22" a="1"/>
  <c r="E80" i="22" a="1"/>
  <c r="E64" i="22" a="1"/>
  <c r="E18" i="22" a="1"/>
  <c r="E9" i="22" a="1"/>
  <c r="E23" i="22" a="1"/>
  <c r="E88" i="22" a="1"/>
  <c r="E10" i="22" a="1"/>
  <c r="E29" i="22" a="1"/>
  <c r="E58" i="22" a="1"/>
  <c r="E56" i="22" a="1"/>
  <c r="E57" i="22" a="1"/>
  <c r="E97" i="22" a="1"/>
  <c r="E50" i="22" a="1"/>
  <c r="E82" i="22" a="1"/>
  <c r="E39" i="22" a="1"/>
  <c r="E67" i="22" a="1"/>
  <c r="E103" i="22" a="1"/>
  <c r="E48" i="22" a="1"/>
  <c r="E89" i="22" a="1"/>
  <c r="E102" i="22" a="1"/>
  <c r="E20" i="22" a="1"/>
  <c r="E54" i="22" a="1"/>
  <c r="E12" i="22" a="1"/>
  <c r="E33" i="22" a="1"/>
  <c r="E13" i="22" a="1"/>
  <c r="E76" i="22" a="1"/>
  <c r="E95" i="22" a="1"/>
  <c r="E86" i="22" a="1"/>
  <c r="E6" i="22" a="1"/>
  <c r="E98" i="22" a="1"/>
  <c r="E68" i="22" a="1"/>
  <c r="E28" i="22" a="1"/>
  <c r="E8" i="22" a="1"/>
  <c r="E53" i="22" a="1"/>
  <c r="E79" i="22" a="1"/>
  <c r="E30" i="22" a="1"/>
  <c r="E90" i="22" a="1"/>
  <c r="E34" i="22" a="1"/>
  <c r="E19" i="22" a="1"/>
  <c r="E59" i="22" a="1"/>
  <c r="E38" i="22" a="1"/>
  <c r="E5" i="22" a="1"/>
  <c r="E43" i="22" a="1"/>
  <c r="E11" i="22" a="1"/>
  <c r="E74" i="22" a="1"/>
  <c r="E25" i="22" a="1"/>
  <c r="E7" i="22" a="1"/>
  <c r="E51" i="22" a="1"/>
  <c r="E99" i="22" a="1"/>
  <c r="E55" i="22" a="1"/>
  <c r="E83" i="22" a="1"/>
  <c r="E41" i="22" a="1"/>
  <c r="E47" i="22" a="1"/>
  <c r="E63" i="22" a="1"/>
  <c r="E15" i="22" a="1"/>
  <c r="E49" i="22" a="1"/>
  <c r="E26" i="22" a="1"/>
  <c r="E94" i="22" a="1"/>
  <c r="E4" i="22" a="1"/>
  <c r="E40" i="22" a="1"/>
  <c r="E69" i="22" a="1"/>
  <c r="E45" i="22" a="1"/>
  <c r="E87" i="22" a="1"/>
  <c r="E52" i="22" a="1"/>
  <c r="E61" i="22" a="1"/>
  <c r="E73" i="22" a="1"/>
  <c r="E62" i="22" a="1"/>
  <c r="E81" i="22" a="1"/>
  <c r="E31" i="22" a="1"/>
  <c r="E22" i="22" a="1"/>
  <c r="E24" i="22" a="1"/>
  <c r="E78" i="22" a="1"/>
  <c r="E60" i="22" a="1"/>
  <c r="E36" i="22" a="1"/>
  <c r="E21" i="22" a="1"/>
  <c r="E77" i="22" a="1"/>
  <c r="E17" i="22" a="1"/>
  <c r="E42" i="22" a="1"/>
  <c r="E72" i="22" a="1"/>
  <c r="E71" i="22" a="1"/>
  <c r="E16" i="22" a="1"/>
  <c r="E92" i="22" a="1"/>
  <c r="E37" i="22" a="1"/>
  <c r="E75" i="22" a="1"/>
  <c r="E101" i="22" a="1"/>
  <c r="E96" i="22" a="1"/>
  <c r="E84" i="22" a="1"/>
  <c r="E100" i="22" a="1"/>
  <c r="E14" i="22" a="1"/>
  <c r="E65" i="22" a="1"/>
  <c r="E32" i="22" a="1"/>
  <c r="E85" i="22" a="1"/>
  <c r="E93" i="22" a="1"/>
  <c r="E44" i="22" a="1"/>
  <c r="E27" i="22" a="1"/>
  <c r="E66" i="22" a="1"/>
  <c r="E46" i="22" a="1"/>
  <c r="E70" i="22" a="1"/>
  <c r="M47" i="15"/>
  <c r="O19" i="27"/>
  <c r="M13" i="15"/>
  <c r="M63" i="15"/>
  <c r="M23" i="15"/>
  <c r="M26" i="15"/>
  <c r="M61" i="15"/>
  <c r="M29" i="15"/>
  <c r="M31" i="15"/>
  <c r="M48" i="15"/>
  <c r="M34" i="15"/>
  <c r="M8" i="15"/>
  <c r="M42" i="15"/>
  <c r="M16" i="15"/>
  <c r="M50" i="15"/>
  <c r="M14" i="15"/>
  <c r="M6" i="15"/>
  <c r="M22" i="15"/>
  <c r="M38" i="15"/>
  <c r="M32" i="15"/>
  <c r="M12" i="15"/>
  <c r="M30" i="15"/>
  <c r="M46" i="15"/>
  <c r="M37" i="15"/>
  <c r="M11" i="15"/>
  <c r="M45" i="15"/>
  <c r="M21" i="15"/>
  <c r="M53" i="15"/>
  <c r="M55" i="15"/>
  <c r="M15" i="15"/>
  <c r="M33" i="15"/>
  <c r="M49" i="15"/>
  <c r="M65" i="15"/>
  <c r="M19" i="15"/>
  <c r="M35" i="15"/>
  <c r="M51" i="15"/>
  <c r="M7" i="15"/>
  <c r="M25" i="15"/>
  <c r="M41" i="15"/>
  <c r="M57" i="15"/>
  <c r="M9" i="15"/>
  <c r="M27" i="15"/>
  <c r="M43" i="15"/>
  <c r="M59" i="15"/>
  <c r="Q66" i="15"/>
  <c r="M18" i="15"/>
  <c r="M24" i="15"/>
  <c r="M40" i="15"/>
  <c r="M64" i="15"/>
  <c r="M58" i="15"/>
  <c r="M10" i="15"/>
  <c r="M28" i="15"/>
  <c r="M44" i="15"/>
  <c r="M20" i="15"/>
  <c r="M36" i="15"/>
  <c r="M56" i="15"/>
  <c r="E98" i="22"/>
  <c r="E54" i="22"/>
  <c r="E70" i="22"/>
  <c r="E19" i="22"/>
  <c r="E62" i="22"/>
  <c r="E20" i="22"/>
  <c r="E99" i="22"/>
  <c r="E24" i="22"/>
  <c r="E6" i="22"/>
  <c r="E102" i="22"/>
  <c r="E46" i="22"/>
  <c r="E34" i="22"/>
  <c r="E86" i="22"/>
  <c r="E89" i="22"/>
  <c r="E21" i="22"/>
  <c r="E84" i="22"/>
  <c r="E73" i="22"/>
  <c r="E48" i="22"/>
  <c r="E51" i="22"/>
  <c r="E96" i="22"/>
  <c r="E95" i="22"/>
  <c r="E103" i="22"/>
  <c r="E66" i="22"/>
  <c r="E90" i="22"/>
  <c r="E76" i="22"/>
  <c r="E67" i="22"/>
  <c r="E27" i="22"/>
  <c r="E101" i="22"/>
  <c r="E61" i="22"/>
  <c r="E39" i="22"/>
  <c r="E7" i="22"/>
  <c r="E30" i="22"/>
  <c r="E13" i="22"/>
  <c r="E82" i="22"/>
  <c r="E44" i="22"/>
  <c r="E22" i="22"/>
  <c r="E33" i="22"/>
  <c r="E50" i="22"/>
  <c r="E25" i="22"/>
  <c r="E75" i="22"/>
  <c r="E52" i="22"/>
  <c r="E97" i="22"/>
  <c r="E36" i="22"/>
  <c r="E79" i="22"/>
  <c r="E12" i="22"/>
  <c r="E57" i="22"/>
  <c r="E93" i="22"/>
  <c r="E37" i="22"/>
  <c r="E87" i="22"/>
  <c r="E56" i="22"/>
  <c r="E74" i="22"/>
  <c r="E53" i="22"/>
  <c r="E45" i="22"/>
  <c r="E58" i="22"/>
  <c r="E85" i="22"/>
  <c r="E31" i="22"/>
  <c r="E69" i="22"/>
  <c r="E29" i="22"/>
  <c r="E11" i="22"/>
  <c r="E8" i="22"/>
  <c r="E40" i="22"/>
  <c r="E10" i="22"/>
  <c r="E43" i="22"/>
  <c r="E92" i="22"/>
  <c r="E4" i="22"/>
  <c r="E88" i="22"/>
  <c r="E32" i="22"/>
  <c r="E28" i="22"/>
  <c r="E94" i="22"/>
  <c r="E23" i="22"/>
  <c r="E60" i="22"/>
  <c r="E16" i="22"/>
  <c r="E26" i="22"/>
  <c r="E9" i="22"/>
  <c r="E5" i="22"/>
  <c r="E81" i="22"/>
  <c r="E49" i="22"/>
  <c r="E18" i="22"/>
  <c r="E65" i="22"/>
  <c r="E68" i="22"/>
  <c r="E15" i="22"/>
  <c r="E64" i="22"/>
  <c r="E38" i="22"/>
  <c r="E71" i="22"/>
  <c r="E63" i="22"/>
  <c r="E80" i="22"/>
  <c r="E14" i="22"/>
  <c r="E72" i="22"/>
  <c r="E47" i="22"/>
  <c r="E3" i="22"/>
  <c r="E59" i="22"/>
  <c r="E42" i="22"/>
  <c r="E41" i="22"/>
  <c r="E91" i="22"/>
  <c r="E100" i="22"/>
  <c r="E17" i="22"/>
  <c r="E83" i="22"/>
  <c r="E35" i="22"/>
  <c r="E78" i="22"/>
  <c r="E77" i="22"/>
  <c r="E55" i="22"/>
  <c r="M54" i="15"/>
  <c r="M52" i="15"/>
  <c r="M62" i="15"/>
  <c r="M60" i="15"/>
  <c r="Q67" i="15"/>
  <c r="M78" i="22"/>
  <c r="K78" i="22"/>
  <c r="L78" i="22"/>
  <c r="T78" i="22"/>
  <c r="F78" i="22"/>
  <c r="U78" i="22"/>
  <c r="B85" i="24"/>
  <c r="G78" i="22"/>
  <c r="S78" i="22"/>
  <c r="R78" i="22"/>
  <c r="B83" i="6"/>
  <c r="J78" i="22"/>
  <c r="C83" i="6"/>
  <c r="K83" i="6"/>
  <c r="L83" i="6"/>
  <c r="H78" i="22"/>
  <c r="Q83" i="6"/>
  <c r="M83" i="6"/>
  <c r="W78" i="22"/>
  <c r="I78" i="22"/>
  <c r="R83" i="6"/>
  <c r="V78" i="22"/>
  <c r="M100" i="22"/>
  <c r="K100" i="22"/>
  <c r="L100" i="22"/>
  <c r="V100" i="22"/>
  <c r="G100" i="22"/>
  <c r="F100" i="22"/>
  <c r="S100" i="22"/>
  <c r="U100" i="22"/>
  <c r="L105" i="6"/>
  <c r="J100" i="22"/>
  <c r="C105" i="6"/>
  <c r="M105" i="6"/>
  <c r="I100" i="22"/>
  <c r="R105" i="6"/>
  <c r="K105" i="6"/>
  <c r="H100" i="22"/>
  <c r="Q105" i="6"/>
  <c r="B107" i="24"/>
  <c r="B105" i="6"/>
  <c r="W100" i="22"/>
  <c r="R100" i="22"/>
  <c r="T100" i="22"/>
  <c r="M59" i="22"/>
  <c r="M64" i="6"/>
  <c r="K59" i="22"/>
  <c r="L59" i="22"/>
  <c r="S59" i="22"/>
  <c r="U59" i="22"/>
  <c r="J59" i="22"/>
  <c r="C64" i="6"/>
  <c r="T59" i="22"/>
  <c r="V59" i="22"/>
  <c r="I59" i="22"/>
  <c r="R64" i="6"/>
  <c r="L64" i="6"/>
  <c r="B66" i="24"/>
  <c r="G59" i="22"/>
  <c r="B64" i="6"/>
  <c r="K64" i="6"/>
  <c r="F59" i="22"/>
  <c r="R59" i="22"/>
  <c r="H59" i="22"/>
  <c r="Q64" i="6"/>
  <c r="W59" i="22"/>
  <c r="M14" i="22"/>
  <c r="U14" i="22"/>
  <c r="I14" i="22"/>
  <c r="R19" i="6"/>
  <c r="T14" i="22"/>
  <c r="F14" i="22"/>
  <c r="B21" i="24"/>
  <c r="K14" i="22"/>
  <c r="L14" i="22"/>
  <c r="R14" i="22"/>
  <c r="W14" i="22"/>
  <c r="J14" i="22"/>
  <c r="C19" i="6"/>
  <c r="S14" i="22"/>
  <c r="V14" i="22"/>
  <c r="G14" i="22"/>
  <c r="M19" i="6"/>
  <c r="L19" i="6"/>
  <c r="H14" i="22"/>
  <c r="Q19" i="6"/>
  <c r="B19" i="6"/>
  <c r="K19" i="6"/>
  <c r="M38" i="22"/>
  <c r="K38" i="22"/>
  <c r="L38" i="22"/>
  <c r="T38" i="22"/>
  <c r="S38" i="22"/>
  <c r="R38" i="22"/>
  <c r="W38" i="22"/>
  <c r="U38" i="22"/>
  <c r="J38" i="22"/>
  <c r="C43" i="6"/>
  <c r="B45" i="24"/>
  <c r="I38" i="22"/>
  <c r="R43" i="6"/>
  <c r="M43" i="6"/>
  <c r="G38" i="22"/>
  <c r="B43" i="6"/>
  <c r="L43" i="6"/>
  <c r="V38" i="22"/>
  <c r="F38" i="22"/>
  <c r="K43" i="6"/>
  <c r="H38" i="22"/>
  <c r="Q43" i="6"/>
  <c r="M65" i="22"/>
  <c r="K65" i="22"/>
  <c r="L65" i="22"/>
  <c r="S65" i="22"/>
  <c r="R65" i="22"/>
  <c r="T65" i="22"/>
  <c r="M70" i="6"/>
  <c r="G65" i="22"/>
  <c r="B72" i="24"/>
  <c r="U65" i="22"/>
  <c r="V65" i="22"/>
  <c r="I65" i="22"/>
  <c r="R70" i="6"/>
  <c r="B70" i="6"/>
  <c r="W65" i="22"/>
  <c r="F65" i="22"/>
  <c r="L70" i="6"/>
  <c r="J65" i="22"/>
  <c r="C70" i="6"/>
  <c r="H65" i="22"/>
  <c r="Q70" i="6"/>
  <c r="K70" i="6"/>
  <c r="M5" i="22"/>
  <c r="V5" i="22"/>
  <c r="L10" i="6"/>
  <c r="K5" i="22"/>
  <c r="L5" i="22"/>
  <c r="B12" i="24"/>
  <c r="G5" i="22"/>
  <c r="W5" i="22"/>
  <c r="M10" i="6"/>
  <c r="F5" i="22"/>
  <c r="J5" i="22"/>
  <c r="C10" i="6"/>
  <c r="B10" i="6"/>
  <c r="I5" i="22"/>
  <c r="R10" i="6"/>
  <c r="U5" i="22"/>
  <c r="K10" i="6"/>
  <c r="H5" i="22"/>
  <c r="Q10" i="6"/>
  <c r="K60" i="22"/>
  <c r="L60" i="22"/>
  <c r="M60" i="22"/>
  <c r="S60" i="22"/>
  <c r="L65" i="6"/>
  <c r="R60" i="22"/>
  <c r="B65" i="6"/>
  <c r="M65" i="6"/>
  <c r="W60" i="22"/>
  <c r="H60" i="22"/>
  <c r="Q65" i="6"/>
  <c r="J60" i="22"/>
  <c r="C65" i="6"/>
  <c r="F60" i="22"/>
  <c r="B67" i="24"/>
  <c r="V60" i="22"/>
  <c r="K65" i="6"/>
  <c r="T60" i="22"/>
  <c r="G60" i="22"/>
  <c r="U60" i="22"/>
  <c r="I60" i="22"/>
  <c r="R65" i="6"/>
  <c r="M32" i="22"/>
  <c r="K32" i="22"/>
  <c r="L32" i="22"/>
  <c r="B39" i="24"/>
  <c r="U32" i="22"/>
  <c r="G32" i="22"/>
  <c r="I32" i="22"/>
  <c r="R37" i="6"/>
  <c r="W32" i="22"/>
  <c r="B37" i="6"/>
  <c r="R32" i="22"/>
  <c r="M37" i="6"/>
  <c r="J32" i="22"/>
  <c r="C37" i="6"/>
  <c r="F32" i="22"/>
  <c r="S32" i="22"/>
  <c r="H32" i="22"/>
  <c r="Q37" i="6"/>
  <c r="L37" i="6"/>
  <c r="K37" i="6"/>
  <c r="T32" i="22"/>
  <c r="V32" i="22"/>
  <c r="M43" i="22"/>
  <c r="K43" i="22"/>
  <c r="L43" i="22"/>
  <c r="U43" i="22"/>
  <c r="G43" i="22"/>
  <c r="B50" i="24"/>
  <c r="I43" i="22"/>
  <c r="R48" i="6"/>
  <c r="F43" i="22"/>
  <c r="M48" i="6"/>
  <c r="L48" i="6"/>
  <c r="T43" i="22"/>
  <c r="H43" i="22"/>
  <c r="Q48" i="6"/>
  <c r="J43" i="22"/>
  <c r="C48" i="6"/>
  <c r="S43" i="22"/>
  <c r="V43" i="22"/>
  <c r="W43" i="22"/>
  <c r="B48" i="6"/>
  <c r="K48" i="6"/>
  <c r="R43" i="22"/>
  <c r="M11" i="22"/>
  <c r="K11" i="22"/>
  <c r="L11" i="22"/>
  <c r="T11" i="22"/>
  <c r="H11" i="22"/>
  <c r="Q16" i="6"/>
  <c r="M16" i="6"/>
  <c r="U11" i="22"/>
  <c r="F11" i="22"/>
  <c r="B16" i="6"/>
  <c r="G11" i="22"/>
  <c r="B18" i="24"/>
  <c r="L16" i="6"/>
  <c r="J11" i="22"/>
  <c r="C16" i="6"/>
  <c r="R11" i="22"/>
  <c r="S11" i="22"/>
  <c r="W11" i="22"/>
  <c r="V11" i="22"/>
  <c r="K16" i="6"/>
  <c r="I11" i="22"/>
  <c r="R16" i="6"/>
  <c r="M85" i="22"/>
  <c r="T85" i="22"/>
  <c r="K85" i="22"/>
  <c r="L85" i="22"/>
  <c r="V85" i="22"/>
  <c r="R85" i="22"/>
  <c r="K90" i="6"/>
  <c r="J85" i="22"/>
  <c r="C90" i="6"/>
  <c r="H85" i="22"/>
  <c r="Q90" i="6"/>
  <c r="L90" i="6"/>
  <c r="I85" i="22"/>
  <c r="R90" i="6"/>
  <c r="M90" i="6"/>
  <c r="W85" i="22"/>
  <c r="S85" i="22"/>
  <c r="G85" i="22"/>
  <c r="B92" i="24"/>
  <c r="U85" i="22"/>
  <c r="B90" i="6"/>
  <c r="F85" i="22"/>
  <c r="S74" i="22"/>
  <c r="K74" i="22"/>
  <c r="L74" i="22"/>
  <c r="M74" i="22"/>
  <c r="M79" i="6"/>
  <c r="K79" i="6"/>
  <c r="I74" i="22"/>
  <c r="R79" i="6"/>
  <c r="R74" i="22"/>
  <c r="V74" i="22"/>
  <c r="W74" i="22"/>
  <c r="H74" i="22"/>
  <c r="Q79" i="6"/>
  <c r="F74" i="22"/>
  <c r="B81" i="24"/>
  <c r="L79" i="6"/>
  <c r="T74" i="22"/>
  <c r="U74" i="22"/>
  <c r="G74" i="22"/>
  <c r="B79" i="6"/>
  <c r="J74" i="22"/>
  <c r="C79" i="6"/>
  <c r="M93" i="22"/>
  <c r="W93" i="22"/>
  <c r="K93" i="22"/>
  <c r="L93" i="22"/>
  <c r="L98" i="6"/>
  <c r="F93" i="22"/>
  <c r="V93" i="22"/>
  <c r="B98" i="6"/>
  <c r="H93" i="22"/>
  <c r="Q98" i="6"/>
  <c r="I93" i="22"/>
  <c r="R98" i="6"/>
  <c r="U93" i="22"/>
  <c r="K98" i="6"/>
  <c r="S93" i="22"/>
  <c r="J93" i="22"/>
  <c r="C98" i="6"/>
  <c r="T93" i="22"/>
  <c r="B100" i="24"/>
  <c r="G93" i="22"/>
  <c r="M98" i="6"/>
  <c r="R93" i="22"/>
  <c r="M36" i="22"/>
  <c r="F36" i="22"/>
  <c r="G36" i="22"/>
  <c r="B43" i="24"/>
  <c r="J36" i="22"/>
  <c r="C41" i="6"/>
  <c r="H36" i="22"/>
  <c r="Q41" i="6"/>
  <c r="S36" i="22"/>
  <c r="T36" i="22"/>
  <c r="M41" i="6"/>
  <c r="W36" i="22"/>
  <c r="B41" i="6"/>
  <c r="I36" i="22"/>
  <c r="R41" i="6"/>
  <c r="K36" i="22"/>
  <c r="L36" i="22"/>
  <c r="V36" i="22"/>
  <c r="R36" i="22"/>
  <c r="L41" i="6"/>
  <c r="K41" i="6"/>
  <c r="U36" i="22"/>
  <c r="M25" i="22"/>
  <c r="G25" i="22"/>
  <c r="K25" i="22"/>
  <c r="L25" i="22"/>
  <c r="V25" i="22"/>
  <c r="U25" i="22"/>
  <c r="L30" i="6"/>
  <c r="R25" i="22"/>
  <c r="F25" i="22"/>
  <c r="S25" i="22"/>
  <c r="T25" i="22"/>
  <c r="K30" i="6"/>
  <c r="J25" i="22"/>
  <c r="C30" i="6"/>
  <c r="W25" i="22"/>
  <c r="B30" i="6"/>
  <c r="I25" i="22"/>
  <c r="R30" i="6"/>
  <c r="M30" i="6"/>
  <c r="H25" i="22"/>
  <c r="Q30" i="6"/>
  <c r="B32" i="24"/>
  <c r="K44" i="22"/>
  <c r="L44" i="22"/>
  <c r="H44" i="22"/>
  <c r="Q49" i="6"/>
  <c r="U44" i="22"/>
  <c r="M49" i="6"/>
  <c r="M44" i="22"/>
  <c r="S44" i="22"/>
  <c r="R44" i="22"/>
  <c r="W44" i="22"/>
  <c r="B51" i="24"/>
  <c r="L49" i="6"/>
  <c r="J44" i="22"/>
  <c r="C49" i="6"/>
  <c r="K49" i="6"/>
  <c r="B49" i="6"/>
  <c r="I44" i="22"/>
  <c r="R49" i="6"/>
  <c r="T44" i="22"/>
  <c r="V44" i="22"/>
  <c r="G44" i="22"/>
  <c r="F44" i="22"/>
  <c r="M7" i="22"/>
  <c r="K7" i="22"/>
  <c r="L7" i="22"/>
  <c r="J7" i="22"/>
  <c r="C12" i="6"/>
  <c r="U7" i="22"/>
  <c r="K12" i="6"/>
  <c r="I7" i="22"/>
  <c r="R12" i="6"/>
  <c r="F7" i="22"/>
  <c r="B14" i="24"/>
  <c r="W7" i="22"/>
  <c r="M12" i="6"/>
  <c r="G7" i="22"/>
  <c r="H7" i="22"/>
  <c r="Q12" i="6"/>
  <c r="V7" i="22"/>
  <c r="L12" i="6"/>
  <c r="B12" i="6"/>
  <c r="M27" i="22"/>
  <c r="K27" i="22"/>
  <c r="L27" i="22"/>
  <c r="M32" i="6"/>
  <c r="S27" i="22"/>
  <c r="W27" i="22"/>
  <c r="R27" i="22"/>
  <c r="F27" i="22"/>
  <c r="V27" i="22"/>
  <c r="J27" i="22"/>
  <c r="C32" i="6"/>
  <c r="H27" i="22"/>
  <c r="Q32" i="6"/>
  <c r="B34" i="24"/>
  <c r="I27" i="22"/>
  <c r="R32" i="6"/>
  <c r="G27" i="22"/>
  <c r="K32" i="6"/>
  <c r="T27" i="22"/>
  <c r="B32" i="6"/>
  <c r="U27" i="22"/>
  <c r="L32" i="6"/>
  <c r="M66" i="22"/>
  <c r="K66" i="22"/>
  <c r="L66" i="22"/>
  <c r="V66" i="22"/>
  <c r="F66" i="22"/>
  <c r="T66" i="22"/>
  <c r="B71" i="6"/>
  <c r="L71" i="6"/>
  <c r="W66" i="22"/>
  <c r="H66" i="22"/>
  <c r="Q71" i="6"/>
  <c r="K71" i="6"/>
  <c r="J66" i="22"/>
  <c r="C71" i="6"/>
  <c r="S66" i="22"/>
  <c r="R66" i="22"/>
  <c r="M71" i="6"/>
  <c r="B73" i="24"/>
  <c r="I66" i="22"/>
  <c r="R71" i="6"/>
  <c r="U66" i="22"/>
  <c r="G66" i="22"/>
  <c r="G51" i="22"/>
  <c r="M51" i="22"/>
  <c r="T51" i="22"/>
  <c r="V51" i="22"/>
  <c r="B56" i="6"/>
  <c r="R51" i="22"/>
  <c r="K56" i="6"/>
  <c r="M56" i="6"/>
  <c r="I51" i="22"/>
  <c r="R56" i="6"/>
  <c r="K51" i="22"/>
  <c r="L51" i="22"/>
  <c r="L56" i="6"/>
  <c r="B58" i="24"/>
  <c r="J51" i="22"/>
  <c r="C56" i="6"/>
  <c r="H51" i="22"/>
  <c r="Q56" i="6"/>
  <c r="F51" i="22"/>
  <c r="U51" i="22"/>
  <c r="S51" i="22"/>
  <c r="W51" i="22"/>
  <c r="M21" i="22"/>
  <c r="K21" i="22"/>
  <c r="L21" i="22"/>
  <c r="W21" i="22"/>
  <c r="S21" i="22"/>
  <c r="H21" i="22"/>
  <c r="Q26" i="6"/>
  <c r="R21" i="22"/>
  <c r="V21" i="22"/>
  <c r="U21" i="22"/>
  <c r="T21" i="22"/>
  <c r="K26" i="6"/>
  <c r="B28" i="24"/>
  <c r="F21" i="22"/>
  <c r="B26" i="6"/>
  <c r="L26" i="6"/>
  <c r="I21" i="22"/>
  <c r="R26" i="6"/>
  <c r="G21" i="22"/>
  <c r="J21" i="22"/>
  <c r="C26" i="6"/>
  <c r="M26" i="6"/>
  <c r="K46" i="22"/>
  <c r="L46" i="22"/>
  <c r="M46" i="22"/>
  <c r="B51" i="6"/>
  <c r="W46" i="22"/>
  <c r="B53" i="24"/>
  <c r="I46" i="22"/>
  <c r="R51" i="6"/>
  <c r="H46" i="22"/>
  <c r="Q51" i="6"/>
  <c r="F46" i="22"/>
  <c r="T46" i="22"/>
  <c r="U46" i="22"/>
  <c r="S46" i="22"/>
  <c r="L51" i="6"/>
  <c r="J46" i="22"/>
  <c r="C51" i="6"/>
  <c r="R46" i="22"/>
  <c r="K51" i="6"/>
  <c r="M51" i="6"/>
  <c r="G46" i="22"/>
  <c r="V46" i="22"/>
  <c r="M99" i="22"/>
  <c r="B106" i="24"/>
  <c r="K99" i="22"/>
  <c r="L99" i="22"/>
  <c r="K104" i="6"/>
  <c r="H99" i="22"/>
  <c r="Q104" i="6"/>
  <c r="V99" i="22"/>
  <c r="G99" i="22"/>
  <c r="F99" i="22"/>
  <c r="B104" i="6"/>
  <c r="W99" i="22"/>
  <c r="S99" i="22"/>
  <c r="L104" i="6"/>
  <c r="I99" i="22"/>
  <c r="R104" i="6"/>
  <c r="M104" i="6"/>
  <c r="R99" i="22"/>
  <c r="J99" i="22"/>
  <c r="C104" i="6"/>
  <c r="U99" i="22"/>
  <c r="T99" i="22"/>
  <c r="M70" i="22"/>
  <c r="K70" i="22"/>
  <c r="L70" i="22"/>
  <c r="T70" i="22"/>
  <c r="B77" i="24"/>
  <c r="H70" i="22"/>
  <c r="Q75" i="6"/>
  <c r="S70" i="22"/>
  <c r="R70" i="22"/>
  <c r="J70" i="22"/>
  <c r="C75" i="6"/>
  <c r="B75" i="6"/>
  <c r="K75" i="6"/>
  <c r="M75" i="6"/>
  <c r="W70" i="22"/>
  <c r="U70" i="22"/>
  <c r="I70" i="22"/>
  <c r="R75" i="6"/>
  <c r="L75" i="6"/>
  <c r="V70" i="22"/>
  <c r="G70" i="22"/>
  <c r="F70" i="22"/>
  <c r="M77" i="22"/>
  <c r="K77" i="22"/>
  <c r="L77" i="22"/>
  <c r="T77" i="22"/>
  <c r="B84" i="24"/>
  <c r="V77" i="22"/>
  <c r="S77" i="22"/>
  <c r="R77" i="22"/>
  <c r="I77" i="22"/>
  <c r="R82" i="6"/>
  <c r="U77" i="22"/>
  <c r="F77" i="22"/>
  <c r="L82" i="6"/>
  <c r="M82" i="6"/>
  <c r="K82" i="6"/>
  <c r="H77" i="22"/>
  <c r="Q82" i="6"/>
  <c r="W77" i="22"/>
  <c r="B82" i="6"/>
  <c r="J77" i="22"/>
  <c r="C82" i="6"/>
  <c r="G77" i="22"/>
  <c r="M42" i="22"/>
  <c r="K42" i="22"/>
  <c r="L42" i="22"/>
  <c r="T42" i="22"/>
  <c r="J42" i="22"/>
  <c r="C47" i="6"/>
  <c r="G42" i="22"/>
  <c r="R42" i="22"/>
  <c r="W42" i="22"/>
  <c r="I42" i="22"/>
  <c r="R47" i="6"/>
  <c r="S42" i="22"/>
  <c r="B49" i="24"/>
  <c r="U42" i="22"/>
  <c r="F42" i="22"/>
  <c r="V42" i="22"/>
  <c r="M47" i="6"/>
  <c r="L47" i="6"/>
  <c r="B47" i="6"/>
  <c r="H42" i="22"/>
  <c r="Q47" i="6"/>
  <c r="K47" i="6"/>
  <c r="M71" i="22"/>
  <c r="K71" i="22"/>
  <c r="L71" i="22"/>
  <c r="K76" i="6"/>
  <c r="J71" i="22"/>
  <c r="C76" i="6"/>
  <c r="W71" i="22"/>
  <c r="R71" i="22"/>
  <c r="I71" i="22"/>
  <c r="R76" i="6"/>
  <c r="B78" i="24"/>
  <c r="T71" i="22"/>
  <c r="U71" i="22"/>
  <c r="L76" i="6"/>
  <c r="S71" i="22"/>
  <c r="F71" i="22"/>
  <c r="B76" i="6"/>
  <c r="M76" i="6"/>
  <c r="V71" i="22"/>
  <c r="G71" i="22"/>
  <c r="H71" i="22"/>
  <c r="Q76" i="6"/>
  <c r="G81" i="22"/>
  <c r="K81" i="22"/>
  <c r="L81" i="22"/>
  <c r="S81" i="22"/>
  <c r="M81" i="22"/>
  <c r="T81" i="22"/>
  <c r="V81" i="22"/>
  <c r="M86" i="6"/>
  <c r="K86" i="6"/>
  <c r="H81" i="22"/>
  <c r="Q86" i="6"/>
  <c r="B88" i="24"/>
  <c r="B86" i="6"/>
  <c r="F81" i="22"/>
  <c r="U81" i="22"/>
  <c r="R81" i="22"/>
  <c r="W81" i="22"/>
  <c r="I81" i="22"/>
  <c r="R86" i="6"/>
  <c r="L86" i="6"/>
  <c r="J81" i="22"/>
  <c r="C86" i="6"/>
  <c r="M28" i="22"/>
  <c r="K28" i="22"/>
  <c r="L28" i="22"/>
  <c r="J28" i="22"/>
  <c r="C33" i="6"/>
  <c r="B33" i="6"/>
  <c r="F28" i="22"/>
  <c r="R28" i="22"/>
  <c r="L33" i="6"/>
  <c r="I28" i="22"/>
  <c r="R33" i="6"/>
  <c r="U28" i="22"/>
  <c r="M33" i="6"/>
  <c r="H28" i="22"/>
  <c r="Q33" i="6"/>
  <c r="B35" i="24"/>
  <c r="K33" i="6"/>
  <c r="T28" i="22"/>
  <c r="S28" i="22"/>
  <c r="V28" i="22"/>
  <c r="G28" i="22"/>
  <c r="W28" i="22"/>
  <c r="M8" i="22"/>
  <c r="K8" i="22"/>
  <c r="L8" i="22"/>
  <c r="V8" i="22"/>
  <c r="G8" i="22"/>
  <c r="U8" i="22"/>
  <c r="F8" i="22"/>
  <c r="I8" i="22"/>
  <c r="R13" i="6"/>
  <c r="W8" i="22"/>
  <c r="B15" i="24"/>
  <c r="R8" i="22"/>
  <c r="B13" i="6"/>
  <c r="K13" i="6"/>
  <c r="H8" i="22"/>
  <c r="Q13" i="6"/>
  <c r="L13" i="6"/>
  <c r="J8" i="22"/>
  <c r="C13" i="6"/>
  <c r="S8" i="22"/>
  <c r="T8" i="22"/>
  <c r="M13" i="6"/>
  <c r="M31" i="22"/>
  <c r="K31" i="22"/>
  <c r="L31" i="22"/>
  <c r="R31" i="22"/>
  <c r="K36" i="6"/>
  <c r="W31" i="22"/>
  <c r="G31" i="22"/>
  <c r="V31" i="22"/>
  <c r="T31" i="22"/>
  <c r="B38" i="24"/>
  <c r="H31" i="22"/>
  <c r="Q36" i="6"/>
  <c r="S31" i="22"/>
  <c r="U31" i="22"/>
  <c r="F31" i="22"/>
  <c r="L36" i="6"/>
  <c r="M36" i="6"/>
  <c r="J31" i="22"/>
  <c r="C36" i="6"/>
  <c r="B36" i="6"/>
  <c r="I31" i="22"/>
  <c r="R36" i="6"/>
  <c r="M37" i="22"/>
  <c r="K37" i="22"/>
  <c r="L37" i="22"/>
  <c r="T37" i="22"/>
  <c r="S37" i="22"/>
  <c r="R37" i="22"/>
  <c r="V37" i="22"/>
  <c r="I37" i="22"/>
  <c r="R42" i="6"/>
  <c r="B42" i="6"/>
  <c r="W37" i="22"/>
  <c r="B44" i="24"/>
  <c r="U37" i="22"/>
  <c r="M42" i="6"/>
  <c r="K42" i="6"/>
  <c r="L42" i="6"/>
  <c r="F37" i="22"/>
  <c r="H37" i="22"/>
  <c r="Q42" i="6"/>
  <c r="G37" i="22"/>
  <c r="J37" i="22"/>
  <c r="C42" i="6"/>
  <c r="M75" i="22"/>
  <c r="R75" i="22"/>
  <c r="V75" i="22"/>
  <c r="G75" i="22"/>
  <c r="L80" i="6"/>
  <c r="T75" i="22"/>
  <c r="K75" i="22"/>
  <c r="L75" i="22"/>
  <c r="B82" i="24"/>
  <c r="K80" i="6"/>
  <c r="U75" i="22"/>
  <c r="H75" i="22"/>
  <c r="Q80" i="6"/>
  <c r="F75" i="22"/>
  <c r="M80" i="6"/>
  <c r="I75" i="22"/>
  <c r="R80" i="6"/>
  <c r="S75" i="22"/>
  <c r="J75" i="22"/>
  <c r="C80" i="6"/>
  <c r="W75" i="22"/>
  <c r="B80" i="6"/>
  <c r="M30" i="22"/>
  <c r="K30" i="22"/>
  <c r="L30" i="22"/>
  <c r="T30" i="22"/>
  <c r="W30" i="22"/>
  <c r="I30" i="22"/>
  <c r="R35" i="6"/>
  <c r="H30" i="22"/>
  <c r="Q35" i="6"/>
  <c r="R30" i="22"/>
  <c r="G30" i="22"/>
  <c r="B37" i="24"/>
  <c r="K35" i="6"/>
  <c r="M35" i="6"/>
  <c r="L35" i="6"/>
  <c r="U30" i="22"/>
  <c r="S30" i="22"/>
  <c r="B35" i="6"/>
  <c r="F30" i="22"/>
  <c r="V30" i="22"/>
  <c r="J30" i="22"/>
  <c r="C35" i="6"/>
  <c r="M90" i="22"/>
  <c r="K90" i="22"/>
  <c r="L90" i="22"/>
  <c r="B97" i="24"/>
  <c r="G90" i="22"/>
  <c r="K95" i="6"/>
  <c r="U90" i="22"/>
  <c r="F90" i="22"/>
  <c r="R90" i="22"/>
  <c r="V90" i="22"/>
  <c r="M95" i="6"/>
  <c r="S90" i="22"/>
  <c r="B95" i="6"/>
  <c r="J90" i="22"/>
  <c r="C95" i="6"/>
  <c r="T90" i="22"/>
  <c r="I90" i="22"/>
  <c r="R95" i="6"/>
  <c r="L95" i="6"/>
  <c r="W90" i="22"/>
  <c r="H90" i="22"/>
  <c r="Q95" i="6"/>
  <c r="M84" i="22"/>
  <c r="K84" i="22"/>
  <c r="L84" i="22"/>
  <c r="I84" i="22"/>
  <c r="R89" i="6"/>
  <c r="R84" i="22"/>
  <c r="B91" i="24"/>
  <c r="S84" i="22"/>
  <c r="T84" i="22"/>
  <c r="V84" i="22"/>
  <c r="M89" i="6"/>
  <c r="U84" i="22"/>
  <c r="F84" i="22"/>
  <c r="L89" i="6"/>
  <c r="K89" i="6"/>
  <c r="B89" i="6"/>
  <c r="G84" i="22"/>
  <c r="H84" i="22"/>
  <c r="Q89" i="6"/>
  <c r="W84" i="22"/>
  <c r="J84" i="22"/>
  <c r="C89" i="6"/>
  <c r="M19" i="22"/>
  <c r="K19" i="22"/>
  <c r="L19" i="22"/>
  <c r="H19" i="22"/>
  <c r="Q24" i="6"/>
  <c r="V19" i="22"/>
  <c r="R19" i="22"/>
  <c r="J19" i="22"/>
  <c r="C24" i="6"/>
  <c r="B24" i="6"/>
  <c r="B26" i="24"/>
  <c r="T19" i="22"/>
  <c r="K24" i="6"/>
  <c r="M24" i="6"/>
  <c r="I19" i="22"/>
  <c r="R24" i="6"/>
  <c r="F19" i="22"/>
  <c r="L24" i="6"/>
  <c r="S19" i="22"/>
  <c r="U19" i="22"/>
  <c r="G19" i="22"/>
  <c r="W19" i="22"/>
  <c r="M35" i="22"/>
  <c r="K35" i="22"/>
  <c r="L35" i="22"/>
  <c r="W35" i="22"/>
  <c r="M40" i="6"/>
  <c r="S35" i="22"/>
  <c r="L40" i="6"/>
  <c r="B40" i="6"/>
  <c r="I35" i="22"/>
  <c r="R40" i="6"/>
  <c r="B42" i="24"/>
  <c r="V35" i="22"/>
  <c r="J35" i="22"/>
  <c r="C40" i="6"/>
  <c r="G35" i="22"/>
  <c r="H35" i="22"/>
  <c r="Q40" i="6"/>
  <c r="U35" i="22"/>
  <c r="K40" i="6"/>
  <c r="R35" i="22"/>
  <c r="T35" i="22"/>
  <c r="F35" i="22"/>
  <c r="M91" i="22"/>
  <c r="F91" i="22"/>
  <c r="K91" i="22"/>
  <c r="L91" i="22"/>
  <c r="U91" i="22"/>
  <c r="J91" i="22"/>
  <c r="C96" i="6"/>
  <c r="B96" i="6"/>
  <c r="T91" i="22"/>
  <c r="K96" i="6"/>
  <c r="M96" i="6"/>
  <c r="W91" i="22"/>
  <c r="B98" i="24"/>
  <c r="H91" i="22"/>
  <c r="Q96" i="6"/>
  <c r="R91" i="22"/>
  <c r="L96" i="6"/>
  <c r="S91" i="22"/>
  <c r="V91" i="22"/>
  <c r="I91" i="22"/>
  <c r="R96" i="6"/>
  <c r="G91" i="22"/>
  <c r="M3" i="22"/>
  <c r="B10" i="24"/>
  <c r="H3" i="22"/>
  <c r="Q8" i="6"/>
  <c r="B8" i="6"/>
  <c r="K3" i="22"/>
  <c r="L3" i="22"/>
  <c r="W3" i="22"/>
  <c r="M8" i="6"/>
  <c r="G3" i="22"/>
  <c r="V3" i="22"/>
  <c r="L8" i="6"/>
  <c r="J3" i="22"/>
  <c r="C8" i="6"/>
  <c r="U3" i="22"/>
  <c r="K8" i="6"/>
  <c r="I3" i="22"/>
  <c r="R8" i="6"/>
  <c r="F3" i="22"/>
  <c r="M80" i="22"/>
  <c r="U80" i="22"/>
  <c r="K80" i="22"/>
  <c r="L80" i="22"/>
  <c r="R80" i="22"/>
  <c r="T80" i="22"/>
  <c r="S80" i="22"/>
  <c r="M85" i="6"/>
  <c r="B87" i="24"/>
  <c r="W80" i="22"/>
  <c r="J80" i="22"/>
  <c r="C85" i="6"/>
  <c r="I80" i="22"/>
  <c r="R85" i="6"/>
  <c r="V80" i="22"/>
  <c r="G80" i="22"/>
  <c r="B85" i="6"/>
  <c r="L85" i="6"/>
  <c r="H80" i="22"/>
  <c r="Q85" i="6"/>
  <c r="F80" i="22"/>
  <c r="K85" i="6"/>
  <c r="M64" i="22"/>
  <c r="G64" i="22"/>
  <c r="K64" i="22"/>
  <c r="L64" i="22"/>
  <c r="B71" i="24"/>
  <c r="V64" i="22"/>
  <c r="F64" i="22"/>
  <c r="T64" i="22"/>
  <c r="M69" i="6"/>
  <c r="J64" i="22"/>
  <c r="C69" i="6"/>
  <c r="B69" i="6"/>
  <c r="I64" i="22"/>
  <c r="R69" i="6"/>
  <c r="L69" i="6"/>
  <c r="H64" i="22"/>
  <c r="Q69" i="6"/>
  <c r="S64" i="22"/>
  <c r="R64" i="22"/>
  <c r="K69" i="6"/>
  <c r="W64" i="22"/>
  <c r="U64" i="22"/>
  <c r="M18" i="22"/>
  <c r="K18" i="22"/>
  <c r="L18" i="22"/>
  <c r="K23" i="6"/>
  <c r="F18" i="22"/>
  <c r="S18" i="22"/>
  <c r="B23" i="6"/>
  <c r="I18" i="22"/>
  <c r="R23" i="6"/>
  <c r="T18" i="22"/>
  <c r="M23" i="6"/>
  <c r="R18" i="22"/>
  <c r="W18" i="22"/>
  <c r="H18" i="22"/>
  <c r="Q23" i="6"/>
  <c r="B25" i="24"/>
  <c r="U18" i="22"/>
  <c r="G18" i="22"/>
  <c r="J18" i="22"/>
  <c r="C23" i="6"/>
  <c r="V18" i="22"/>
  <c r="L23" i="6"/>
  <c r="M9" i="22"/>
  <c r="W9" i="22"/>
  <c r="U9" i="22"/>
  <c r="V9" i="22"/>
  <c r="H9" i="22"/>
  <c r="Q14" i="6"/>
  <c r="M14" i="6"/>
  <c r="F9" i="22"/>
  <c r="B16" i="24"/>
  <c r="K9" i="22"/>
  <c r="L9" i="22"/>
  <c r="S9" i="22"/>
  <c r="B14" i="6"/>
  <c r="G9" i="22"/>
  <c r="K14" i="6"/>
  <c r="R9" i="22"/>
  <c r="T9" i="22"/>
  <c r="I9" i="22"/>
  <c r="R14" i="6"/>
  <c r="J9" i="22"/>
  <c r="C14" i="6"/>
  <c r="L14" i="6"/>
  <c r="M23" i="22"/>
  <c r="K23" i="22"/>
  <c r="L23" i="22"/>
  <c r="I23" i="22"/>
  <c r="R28" i="6"/>
  <c r="F23" i="22"/>
  <c r="U23" i="22"/>
  <c r="M28" i="6"/>
  <c r="S23" i="22"/>
  <c r="L28" i="6"/>
  <c r="J23" i="22"/>
  <c r="C28" i="6"/>
  <c r="G23" i="22"/>
  <c r="T23" i="22"/>
  <c r="B30" i="24"/>
  <c r="H23" i="22"/>
  <c r="Q28" i="6"/>
  <c r="K28" i="6"/>
  <c r="V23" i="22"/>
  <c r="B28" i="6"/>
  <c r="W23" i="22"/>
  <c r="R23" i="22"/>
  <c r="M88" i="22"/>
  <c r="K88" i="22"/>
  <c r="L88" i="22"/>
  <c r="H88" i="22"/>
  <c r="Q93" i="6"/>
  <c r="R88" i="22"/>
  <c r="F88" i="22"/>
  <c r="L93" i="6"/>
  <c r="W88" i="22"/>
  <c r="G88" i="22"/>
  <c r="J88" i="22"/>
  <c r="C93" i="6"/>
  <c r="T88" i="22"/>
  <c r="M93" i="6"/>
  <c r="U88" i="22"/>
  <c r="K93" i="6"/>
  <c r="B95" i="24"/>
  <c r="B93" i="6"/>
  <c r="I88" i="22"/>
  <c r="R93" i="6"/>
  <c r="V88" i="22"/>
  <c r="S88" i="22"/>
  <c r="M10" i="22"/>
  <c r="H10" i="22"/>
  <c r="Q15" i="6"/>
  <c r="B17" i="24"/>
  <c r="V10" i="22"/>
  <c r="S10" i="22"/>
  <c r="K10" i="22"/>
  <c r="L10" i="22"/>
  <c r="F10" i="22"/>
  <c r="U10" i="22"/>
  <c r="G10" i="22"/>
  <c r="L15" i="6"/>
  <c r="T10" i="22"/>
  <c r="J10" i="22"/>
  <c r="C15" i="6"/>
  <c r="B15" i="6"/>
  <c r="R10" i="22"/>
  <c r="W10" i="22"/>
  <c r="K15" i="6"/>
  <c r="I10" i="22"/>
  <c r="R15" i="6"/>
  <c r="M15" i="6"/>
  <c r="M29" i="22"/>
  <c r="K29" i="22"/>
  <c r="L29" i="22"/>
  <c r="S29" i="22"/>
  <c r="V29" i="22"/>
  <c r="M34" i="6"/>
  <c r="G29" i="22"/>
  <c r="K34" i="6"/>
  <c r="B36" i="24"/>
  <c r="H29" i="22"/>
  <c r="Q34" i="6"/>
  <c r="L34" i="6"/>
  <c r="B34" i="6"/>
  <c r="W29" i="22"/>
  <c r="F29" i="22"/>
  <c r="R29" i="22"/>
  <c r="J29" i="22"/>
  <c r="C34" i="6"/>
  <c r="T29" i="22"/>
  <c r="U29" i="22"/>
  <c r="I29" i="22"/>
  <c r="R34" i="6"/>
  <c r="M58" i="22"/>
  <c r="K58" i="22"/>
  <c r="L58" i="22"/>
  <c r="L63" i="6"/>
  <c r="G58" i="22"/>
  <c r="B63" i="6"/>
  <c r="U58" i="22"/>
  <c r="B65" i="24"/>
  <c r="K63" i="6"/>
  <c r="F58" i="22"/>
  <c r="T58" i="22"/>
  <c r="R58" i="22"/>
  <c r="J58" i="22"/>
  <c r="C63" i="6"/>
  <c r="M63" i="6"/>
  <c r="S58" i="22"/>
  <c r="H58" i="22"/>
  <c r="Q63" i="6"/>
  <c r="V58" i="22"/>
  <c r="I58" i="22"/>
  <c r="R63" i="6"/>
  <c r="W58" i="22"/>
  <c r="M56" i="22"/>
  <c r="K56" i="22"/>
  <c r="L56" i="22"/>
  <c r="M61" i="6"/>
  <c r="T56" i="22"/>
  <c r="F56" i="22"/>
  <c r="B61" i="6"/>
  <c r="R56" i="22"/>
  <c r="K61" i="6"/>
  <c r="J56" i="22"/>
  <c r="C61" i="6"/>
  <c r="V56" i="22"/>
  <c r="U56" i="22"/>
  <c r="L61" i="6"/>
  <c r="H56" i="22"/>
  <c r="Q61" i="6"/>
  <c r="S56" i="22"/>
  <c r="B63" i="24"/>
  <c r="I56" i="22"/>
  <c r="R61" i="6"/>
  <c r="G56" i="22"/>
  <c r="W56" i="22"/>
  <c r="M57" i="22"/>
  <c r="K57" i="22"/>
  <c r="L57" i="22"/>
  <c r="B62" i="6"/>
  <c r="L62" i="6"/>
  <c r="R57" i="22"/>
  <c r="M62" i="6"/>
  <c r="K62" i="6"/>
  <c r="F57" i="22"/>
  <c r="V57" i="22"/>
  <c r="J57" i="22"/>
  <c r="C62" i="6"/>
  <c r="H57" i="22"/>
  <c r="Q62" i="6"/>
  <c r="U57" i="22"/>
  <c r="G57" i="22"/>
  <c r="W57" i="22"/>
  <c r="T57" i="22"/>
  <c r="B64" i="24"/>
  <c r="S57" i="22"/>
  <c r="I57" i="22"/>
  <c r="R62" i="6"/>
  <c r="M97" i="22"/>
  <c r="K97" i="22"/>
  <c r="L97" i="22"/>
  <c r="T97" i="22"/>
  <c r="K102" i="6"/>
  <c r="I97" i="22"/>
  <c r="R102" i="6"/>
  <c r="J97" i="22"/>
  <c r="C102" i="6"/>
  <c r="V97" i="22"/>
  <c r="G97" i="22"/>
  <c r="H97" i="22"/>
  <c r="Q102" i="6"/>
  <c r="M102" i="6"/>
  <c r="F97" i="22"/>
  <c r="R97" i="22"/>
  <c r="B102" i="6"/>
  <c r="B104" i="24"/>
  <c r="S97" i="22"/>
  <c r="L102" i="6"/>
  <c r="U97" i="22"/>
  <c r="W97" i="22"/>
  <c r="M50" i="22"/>
  <c r="K50" i="22"/>
  <c r="L50" i="22"/>
  <c r="W50" i="22"/>
  <c r="L55" i="6"/>
  <c r="B55" i="6"/>
  <c r="B57" i="24"/>
  <c r="S50" i="22"/>
  <c r="K55" i="6"/>
  <c r="V50" i="22"/>
  <c r="U50" i="22"/>
  <c r="I50" i="22"/>
  <c r="R55" i="6"/>
  <c r="G50" i="22"/>
  <c r="T50" i="22"/>
  <c r="M55" i="6"/>
  <c r="J50" i="22"/>
  <c r="C55" i="6"/>
  <c r="R50" i="22"/>
  <c r="F50" i="22"/>
  <c r="H50" i="22"/>
  <c r="Q55" i="6"/>
  <c r="M82" i="22"/>
  <c r="K82" i="22"/>
  <c r="L82" i="22"/>
  <c r="S82" i="22"/>
  <c r="F82" i="22"/>
  <c r="M87" i="6"/>
  <c r="U82" i="22"/>
  <c r="B87" i="6"/>
  <c r="I82" i="22"/>
  <c r="R87" i="6"/>
  <c r="H82" i="22"/>
  <c r="Q87" i="6"/>
  <c r="K87" i="6"/>
  <c r="T82" i="22"/>
  <c r="W82" i="22"/>
  <c r="L87" i="6"/>
  <c r="J82" i="22"/>
  <c r="C87" i="6"/>
  <c r="R82" i="22"/>
  <c r="B89" i="24"/>
  <c r="V82" i="22"/>
  <c r="G82" i="22"/>
  <c r="M39" i="22"/>
  <c r="K39" i="22"/>
  <c r="L39" i="22"/>
  <c r="G39" i="22"/>
  <c r="R39" i="22"/>
  <c r="T39" i="22"/>
  <c r="M44" i="6"/>
  <c r="K44" i="6"/>
  <c r="V39" i="22"/>
  <c r="L44" i="6"/>
  <c r="B44" i="6"/>
  <c r="B46" i="24"/>
  <c r="H39" i="22"/>
  <c r="Q44" i="6"/>
  <c r="F39" i="22"/>
  <c r="S39" i="22"/>
  <c r="J39" i="22"/>
  <c r="C44" i="6"/>
  <c r="U39" i="22"/>
  <c r="I39" i="22"/>
  <c r="R44" i="6"/>
  <c r="W39" i="22"/>
  <c r="M67" i="22"/>
  <c r="K67" i="22"/>
  <c r="L67" i="22"/>
  <c r="B72" i="6"/>
  <c r="F67" i="22"/>
  <c r="B74" i="24"/>
  <c r="K72" i="6"/>
  <c r="J67" i="22"/>
  <c r="C72" i="6"/>
  <c r="W67" i="22"/>
  <c r="V67" i="22"/>
  <c r="R67" i="22"/>
  <c r="S67" i="22"/>
  <c r="I67" i="22"/>
  <c r="R72" i="6"/>
  <c r="L72" i="6"/>
  <c r="H67" i="22"/>
  <c r="Q72" i="6"/>
  <c r="T67" i="22"/>
  <c r="U67" i="22"/>
  <c r="G67" i="22"/>
  <c r="M72" i="6"/>
  <c r="K103" i="22"/>
  <c r="L103" i="22"/>
  <c r="M103" i="22"/>
  <c r="U103" i="22"/>
  <c r="B110" i="24"/>
  <c r="I103" i="22"/>
  <c r="R108" i="6"/>
  <c r="V103" i="22"/>
  <c r="J103" i="22"/>
  <c r="C108" i="6"/>
  <c r="L108" i="6"/>
  <c r="H103" i="22"/>
  <c r="Q108" i="6"/>
  <c r="B108" i="6"/>
  <c r="S103" i="22"/>
  <c r="K108" i="6"/>
  <c r="W103" i="22"/>
  <c r="G103" i="22"/>
  <c r="F103" i="22"/>
  <c r="T103" i="22"/>
  <c r="M108" i="6"/>
  <c r="R103" i="22"/>
  <c r="M48" i="22"/>
  <c r="K48" i="22"/>
  <c r="L48" i="22"/>
  <c r="J48" i="22"/>
  <c r="C53" i="6"/>
  <c r="I48" i="22"/>
  <c r="R53" i="6"/>
  <c r="W48" i="22"/>
  <c r="U48" i="22"/>
  <c r="B55" i="24"/>
  <c r="M53" i="6"/>
  <c r="B53" i="6"/>
  <c r="R48" i="22"/>
  <c r="S48" i="22"/>
  <c r="G48" i="22"/>
  <c r="V48" i="22"/>
  <c r="T48" i="22"/>
  <c r="F48" i="22"/>
  <c r="K53" i="6"/>
  <c r="L53" i="6"/>
  <c r="H48" i="22"/>
  <c r="Q53" i="6"/>
  <c r="M89" i="22"/>
  <c r="K89" i="22"/>
  <c r="L89" i="22"/>
  <c r="B96" i="24"/>
  <c r="T89" i="22"/>
  <c r="H89" i="22"/>
  <c r="Q94" i="6"/>
  <c r="J89" i="22"/>
  <c r="C94" i="6"/>
  <c r="U89" i="22"/>
  <c r="F89" i="22"/>
  <c r="M94" i="6"/>
  <c r="B94" i="6"/>
  <c r="S89" i="22"/>
  <c r="R89" i="22"/>
  <c r="I89" i="22"/>
  <c r="R94" i="6"/>
  <c r="V89" i="22"/>
  <c r="W89" i="22"/>
  <c r="L94" i="6"/>
  <c r="G89" i="22"/>
  <c r="K94" i="6"/>
  <c r="K102" i="22"/>
  <c r="L102" i="22"/>
  <c r="V102" i="22"/>
  <c r="I102" i="22"/>
  <c r="R107" i="6"/>
  <c r="M107" i="6"/>
  <c r="K107" i="6"/>
  <c r="M102" i="22"/>
  <c r="B109" i="24"/>
  <c r="J102" i="22"/>
  <c r="C107" i="6"/>
  <c r="U102" i="22"/>
  <c r="W102" i="22"/>
  <c r="F102" i="22"/>
  <c r="H102" i="22"/>
  <c r="Q107" i="6"/>
  <c r="S102" i="22"/>
  <c r="T102" i="22"/>
  <c r="B107" i="6"/>
  <c r="G102" i="22"/>
  <c r="L107" i="6"/>
  <c r="R102" i="22"/>
  <c r="M20" i="22"/>
  <c r="K20" i="22"/>
  <c r="L20" i="22"/>
  <c r="F20" i="22"/>
  <c r="V20" i="22"/>
  <c r="T20" i="22"/>
  <c r="J20" i="22"/>
  <c r="C25" i="6"/>
  <c r="B25" i="6"/>
  <c r="K25" i="6"/>
  <c r="U20" i="22"/>
  <c r="R20" i="22"/>
  <c r="H20" i="22"/>
  <c r="Q25" i="6"/>
  <c r="L25" i="6"/>
  <c r="G20" i="22"/>
  <c r="S20" i="22"/>
  <c r="I20" i="22"/>
  <c r="R25" i="6"/>
  <c r="M25" i="6"/>
  <c r="B27" i="24"/>
  <c r="W20" i="22"/>
  <c r="M54" i="22"/>
  <c r="K59" i="6"/>
  <c r="K54" i="22"/>
  <c r="L54" i="22"/>
  <c r="M59" i="6"/>
  <c r="G54" i="22"/>
  <c r="I54" i="22"/>
  <c r="R59" i="6"/>
  <c r="F54" i="22"/>
  <c r="H54" i="22"/>
  <c r="Q59" i="6"/>
  <c r="S54" i="22"/>
  <c r="B59" i="6"/>
  <c r="V54" i="22"/>
  <c r="U54" i="22"/>
  <c r="T54" i="22"/>
  <c r="J54" i="22"/>
  <c r="C59" i="6"/>
  <c r="B61" i="24"/>
  <c r="R54" i="22"/>
  <c r="W54" i="22"/>
  <c r="L59" i="6"/>
  <c r="M17" i="22"/>
  <c r="G17" i="22"/>
  <c r="K17" i="22"/>
  <c r="L17" i="22"/>
  <c r="F17" i="22"/>
  <c r="J17" i="22"/>
  <c r="C22" i="6"/>
  <c r="U17" i="22"/>
  <c r="S17" i="22"/>
  <c r="T17" i="22"/>
  <c r="I17" i="22"/>
  <c r="R22" i="6"/>
  <c r="L22" i="6"/>
  <c r="K22" i="6"/>
  <c r="M22" i="6"/>
  <c r="B22" i="6"/>
  <c r="H17" i="22"/>
  <c r="Q22" i="6"/>
  <c r="B24" i="24"/>
  <c r="W17" i="22"/>
  <c r="V17" i="22"/>
  <c r="R17" i="22"/>
  <c r="K72" i="22"/>
  <c r="L72" i="22"/>
  <c r="M72" i="22"/>
  <c r="I72" i="22"/>
  <c r="R77" i="6"/>
  <c r="R72" i="22"/>
  <c r="T72" i="22"/>
  <c r="B77" i="6"/>
  <c r="U72" i="22"/>
  <c r="B79" i="24"/>
  <c r="S72" i="22"/>
  <c r="V72" i="22"/>
  <c r="W72" i="22"/>
  <c r="M77" i="6"/>
  <c r="F72" i="22"/>
  <c r="L77" i="6"/>
  <c r="H72" i="22"/>
  <c r="Q77" i="6"/>
  <c r="J72" i="22"/>
  <c r="C77" i="6"/>
  <c r="G72" i="22"/>
  <c r="K77" i="6"/>
  <c r="M68" i="22"/>
  <c r="B75" i="24"/>
  <c r="K68" i="22"/>
  <c r="L68" i="22"/>
  <c r="L73" i="6"/>
  <c r="U68" i="22"/>
  <c r="K73" i="6"/>
  <c r="W68" i="22"/>
  <c r="H68" i="22"/>
  <c r="Q73" i="6"/>
  <c r="S68" i="22"/>
  <c r="I68" i="22"/>
  <c r="R73" i="6"/>
  <c r="F68" i="22"/>
  <c r="R68" i="22"/>
  <c r="G68" i="22"/>
  <c r="B73" i="6"/>
  <c r="V68" i="22"/>
  <c r="J68" i="22"/>
  <c r="C73" i="6"/>
  <c r="T68" i="22"/>
  <c r="M73" i="6"/>
  <c r="M16" i="22"/>
  <c r="U16" i="22"/>
  <c r="M21" i="6"/>
  <c r="T16" i="22"/>
  <c r="I16" i="22"/>
  <c r="R21" i="6"/>
  <c r="H16" i="22"/>
  <c r="Q21" i="6"/>
  <c r="W16" i="22"/>
  <c r="R16" i="22"/>
  <c r="B21" i="6"/>
  <c r="K16" i="22"/>
  <c r="L16" i="22"/>
  <c r="B23" i="24"/>
  <c r="L21" i="6"/>
  <c r="F16" i="22"/>
  <c r="G16" i="22"/>
  <c r="J16" i="22"/>
  <c r="C21" i="6"/>
  <c r="K21" i="6"/>
  <c r="S16" i="22"/>
  <c r="V16" i="22"/>
  <c r="K92" i="22"/>
  <c r="L92" i="22"/>
  <c r="M92" i="22"/>
  <c r="I92" i="22"/>
  <c r="R97" i="6"/>
  <c r="L97" i="6"/>
  <c r="B97" i="6"/>
  <c r="V92" i="22"/>
  <c r="M97" i="6"/>
  <c r="T92" i="22"/>
  <c r="G92" i="22"/>
  <c r="K97" i="6"/>
  <c r="B99" i="24"/>
  <c r="R92" i="22"/>
  <c r="U92" i="22"/>
  <c r="H92" i="22"/>
  <c r="Q97" i="6"/>
  <c r="S92" i="22"/>
  <c r="F92" i="22"/>
  <c r="W92" i="22"/>
  <c r="J92" i="22"/>
  <c r="C97" i="6"/>
  <c r="M53" i="22"/>
  <c r="R53" i="22"/>
  <c r="K53" i="22"/>
  <c r="L53" i="22"/>
  <c r="K58" i="6"/>
  <c r="F53" i="22"/>
  <c r="H53" i="22"/>
  <c r="Q58" i="6"/>
  <c r="S53" i="22"/>
  <c r="I53" i="22"/>
  <c r="R58" i="6"/>
  <c r="J53" i="22"/>
  <c r="C58" i="6"/>
  <c r="B60" i="24"/>
  <c r="G53" i="22"/>
  <c r="B58" i="6"/>
  <c r="L58" i="6"/>
  <c r="U53" i="22"/>
  <c r="V53" i="22"/>
  <c r="W53" i="22"/>
  <c r="M58" i="6"/>
  <c r="T53" i="22"/>
  <c r="M79" i="22"/>
  <c r="T79" i="22"/>
  <c r="K79" i="22"/>
  <c r="L79" i="22"/>
  <c r="U79" i="22"/>
  <c r="K84" i="6"/>
  <c r="G79" i="22"/>
  <c r="L84" i="6"/>
  <c r="B86" i="24"/>
  <c r="F79" i="22"/>
  <c r="I79" i="22"/>
  <c r="R84" i="6"/>
  <c r="J79" i="22"/>
  <c r="C84" i="6"/>
  <c r="V79" i="22"/>
  <c r="R79" i="22"/>
  <c r="W79" i="22"/>
  <c r="B84" i="6"/>
  <c r="H79" i="22"/>
  <c r="Q84" i="6"/>
  <c r="S79" i="22"/>
  <c r="M84" i="6"/>
  <c r="M22" i="22"/>
  <c r="K22" i="22"/>
  <c r="L22" i="22"/>
  <c r="V22" i="22"/>
  <c r="U22" i="22"/>
  <c r="W22" i="22"/>
  <c r="H22" i="22"/>
  <c r="Q27" i="6"/>
  <c r="R22" i="22"/>
  <c r="S22" i="22"/>
  <c r="B27" i="6"/>
  <c r="B29" i="24"/>
  <c r="G22" i="22"/>
  <c r="T22" i="22"/>
  <c r="K27" i="6"/>
  <c r="J22" i="22"/>
  <c r="C27" i="6"/>
  <c r="L27" i="6"/>
  <c r="I22" i="22"/>
  <c r="R27" i="6"/>
  <c r="F22" i="22"/>
  <c r="M27" i="6"/>
  <c r="M101" i="22"/>
  <c r="M106" i="6"/>
  <c r="K101" i="22"/>
  <c r="L101" i="22"/>
  <c r="F101" i="22"/>
  <c r="K106" i="6"/>
  <c r="U101" i="22"/>
  <c r="I101" i="22"/>
  <c r="R106" i="6"/>
  <c r="R101" i="22"/>
  <c r="B108" i="24"/>
  <c r="V101" i="22"/>
  <c r="L106" i="6"/>
  <c r="H101" i="22"/>
  <c r="Q106" i="6"/>
  <c r="T101" i="22"/>
  <c r="W101" i="22"/>
  <c r="B106" i="6"/>
  <c r="G101" i="22"/>
  <c r="J101" i="22"/>
  <c r="C106" i="6"/>
  <c r="S101" i="22"/>
  <c r="M96" i="22"/>
  <c r="K96" i="22"/>
  <c r="L96" i="22"/>
  <c r="B101" i="6"/>
  <c r="G96" i="22"/>
  <c r="I96" i="22"/>
  <c r="R101" i="6"/>
  <c r="B103" i="24"/>
  <c r="F96" i="22"/>
  <c r="M101" i="6"/>
  <c r="S96" i="22"/>
  <c r="R96" i="22"/>
  <c r="W96" i="22"/>
  <c r="U96" i="22"/>
  <c r="T96" i="22"/>
  <c r="L101" i="6"/>
  <c r="K101" i="6"/>
  <c r="H96" i="22"/>
  <c r="Q101" i="6"/>
  <c r="J96" i="22"/>
  <c r="C101" i="6"/>
  <c r="V96" i="22"/>
  <c r="K34" i="22"/>
  <c r="L34" i="22"/>
  <c r="H34" i="22"/>
  <c r="Q39" i="6"/>
  <c r="M34" i="22"/>
  <c r="R34" i="22"/>
  <c r="U34" i="22"/>
  <c r="B39" i="6"/>
  <c r="B41" i="24"/>
  <c r="T34" i="22"/>
  <c r="W34" i="22"/>
  <c r="L39" i="6"/>
  <c r="S34" i="22"/>
  <c r="V34" i="22"/>
  <c r="M39" i="6"/>
  <c r="G34" i="22"/>
  <c r="J34" i="22"/>
  <c r="C39" i="6"/>
  <c r="F34" i="22"/>
  <c r="I34" i="22"/>
  <c r="R39" i="6"/>
  <c r="K39" i="6"/>
  <c r="M24" i="22"/>
  <c r="K24" i="22"/>
  <c r="L24" i="22"/>
  <c r="F24" i="22"/>
  <c r="B29" i="6"/>
  <c r="V24" i="22"/>
  <c r="M29" i="6"/>
  <c r="T24" i="22"/>
  <c r="B31" i="24"/>
  <c r="J24" i="22"/>
  <c r="C29" i="6"/>
  <c r="U24" i="22"/>
  <c r="W24" i="22"/>
  <c r="K29" i="6"/>
  <c r="S24" i="22"/>
  <c r="R24" i="22"/>
  <c r="L29" i="6"/>
  <c r="G24" i="22"/>
  <c r="I24" i="22"/>
  <c r="R29" i="6"/>
  <c r="H24" i="22"/>
  <c r="Q29" i="6"/>
  <c r="M55" i="22"/>
  <c r="K55" i="22"/>
  <c r="L55" i="22"/>
  <c r="S55" i="22"/>
  <c r="T55" i="22"/>
  <c r="L60" i="6"/>
  <c r="R55" i="22"/>
  <c r="I55" i="22"/>
  <c r="R60" i="6"/>
  <c r="G55" i="22"/>
  <c r="J55" i="22"/>
  <c r="C60" i="6"/>
  <c r="V55" i="22"/>
  <c r="K60" i="6"/>
  <c r="B60" i="6"/>
  <c r="M60" i="6"/>
  <c r="B62" i="24"/>
  <c r="U55" i="22"/>
  <c r="H55" i="22"/>
  <c r="Q60" i="6"/>
  <c r="F55" i="22"/>
  <c r="W55" i="22"/>
  <c r="M83" i="22"/>
  <c r="K83" i="22"/>
  <c r="L83" i="22"/>
  <c r="S83" i="22"/>
  <c r="V83" i="22"/>
  <c r="H83" i="22"/>
  <c r="Q88" i="6"/>
  <c r="U83" i="22"/>
  <c r="L88" i="6"/>
  <c r="B88" i="6"/>
  <c r="R83" i="22"/>
  <c r="W83" i="22"/>
  <c r="B90" i="24"/>
  <c r="K88" i="6"/>
  <c r="M88" i="6"/>
  <c r="T83" i="22"/>
  <c r="J83" i="22"/>
  <c r="C88" i="6"/>
  <c r="G83" i="22"/>
  <c r="I83" i="22"/>
  <c r="R88" i="6"/>
  <c r="F83" i="22"/>
  <c r="M41" i="22"/>
  <c r="K41" i="22"/>
  <c r="L41" i="22"/>
  <c r="B46" i="6"/>
  <c r="I41" i="22"/>
  <c r="R46" i="6"/>
  <c r="B48" i="24"/>
  <c r="U41" i="22"/>
  <c r="H41" i="22"/>
  <c r="Q46" i="6"/>
  <c r="V41" i="22"/>
  <c r="S41" i="22"/>
  <c r="G41" i="22"/>
  <c r="W41" i="22"/>
  <c r="F41" i="22"/>
  <c r="K46" i="6"/>
  <c r="T41" i="22"/>
  <c r="R41" i="22"/>
  <c r="J41" i="22"/>
  <c r="C46" i="6"/>
  <c r="M46" i="6"/>
  <c r="L46" i="6"/>
  <c r="M47" i="22"/>
  <c r="H47" i="22"/>
  <c r="Q52" i="6"/>
  <c r="K47" i="22"/>
  <c r="L47" i="22"/>
  <c r="L52" i="6"/>
  <c r="V47" i="22"/>
  <c r="F47" i="22"/>
  <c r="I47" i="22"/>
  <c r="R52" i="6"/>
  <c r="T47" i="22"/>
  <c r="U47" i="22"/>
  <c r="J47" i="22"/>
  <c r="C52" i="6"/>
  <c r="G47" i="22"/>
  <c r="B52" i="6"/>
  <c r="W47" i="22"/>
  <c r="R47" i="22"/>
  <c r="S47" i="22"/>
  <c r="M52" i="6"/>
  <c r="B54" i="24"/>
  <c r="K52" i="6"/>
  <c r="M63" i="22"/>
  <c r="K63" i="22"/>
  <c r="L63" i="22"/>
  <c r="T63" i="22"/>
  <c r="J63" i="22"/>
  <c r="C68" i="6"/>
  <c r="B70" i="24"/>
  <c r="R63" i="22"/>
  <c r="V63" i="22"/>
  <c r="F63" i="22"/>
  <c r="S63" i="22"/>
  <c r="W63" i="22"/>
  <c r="U63" i="22"/>
  <c r="G63" i="22"/>
  <c r="M68" i="6"/>
  <c r="L68" i="6"/>
  <c r="H63" i="22"/>
  <c r="Q68" i="6"/>
  <c r="B68" i="6"/>
  <c r="I63" i="22"/>
  <c r="R68" i="6"/>
  <c r="K68" i="6"/>
  <c r="M15" i="22"/>
  <c r="V15" i="22"/>
  <c r="K15" i="22"/>
  <c r="L15" i="22"/>
  <c r="R15" i="22"/>
  <c r="I15" i="22"/>
  <c r="R20" i="6"/>
  <c r="S15" i="22"/>
  <c r="U15" i="22"/>
  <c r="B22" i="24"/>
  <c r="T15" i="22"/>
  <c r="J15" i="22"/>
  <c r="C20" i="6"/>
  <c r="G15" i="22"/>
  <c r="W15" i="22"/>
  <c r="B20" i="6"/>
  <c r="K20" i="6"/>
  <c r="H15" i="22"/>
  <c r="Q20" i="6"/>
  <c r="F15" i="22"/>
  <c r="M20" i="6"/>
  <c r="L20" i="6"/>
  <c r="M49" i="22"/>
  <c r="K49" i="22"/>
  <c r="L49" i="22"/>
  <c r="V49" i="22"/>
  <c r="B54" i="6"/>
  <c r="R49" i="22"/>
  <c r="U49" i="22"/>
  <c r="W49" i="22"/>
  <c r="B56" i="24"/>
  <c r="T49" i="22"/>
  <c r="I49" i="22"/>
  <c r="R54" i="6"/>
  <c r="S49" i="22"/>
  <c r="M54" i="6"/>
  <c r="F49" i="22"/>
  <c r="L54" i="6"/>
  <c r="H49" i="22"/>
  <c r="Q54" i="6"/>
  <c r="J49" i="22"/>
  <c r="C54" i="6"/>
  <c r="G49" i="22"/>
  <c r="K54" i="6"/>
  <c r="M26" i="22"/>
  <c r="K26" i="22"/>
  <c r="L26" i="22"/>
  <c r="W26" i="22"/>
  <c r="L31" i="6"/>
  <c r="T26" i="22"/>
  <c r="J26" i="22"/>
  <c r="C31" i="6"/>
  <c r="B33" i="24"/>
  <c r="K31" i="6"/>
  <c r="M31" i="6"/>
  <c r="F26" i="22"/>
  <c r="I26" i="22"/>
  <c r="R31" i="6"/>
  <c r="B31" i="6"/>
  <c r="G26" i="22"/>
  <c r="H26" i="22"/>
  <c r="Q31" i="6"/>
  <c r="R26" i="22"/>
  <c r="U26" i="22"/>
  <c r="V26" i="22"/>
  <c r="S26" i="22"/>
  <c r="M94" i="22"/>
  <c r="U94" i="22"/>
  <c r="J94" i="22"/>
  <c r="C99" i="6"/>
  <c r="B99" i="6"/>
  <c r="K94" i="22"/>
  <c r="L94" i="22"/>
  <c r="L99" i="6"/>
  <c r="M99" i="6"/>
  <c r="B101" i="24"/>
  <c r="W94" i="22"/>
  <c r="S94" i="22"/>
  <c r="G94" i="22"/>
  <c r="I94" i="22"/>
  <c r="R99" i="6"/>
  <c r="H94" i="22"/>
  <c r="Q99" i="6"/>
  <c r="K99" i="6"/>
  <c r="V94" i="22"/>
  <c r="R94" i="22"/>
  <c r="T94" i="22"/>
  <c r="F94" i="22"/>
  <c r="M4" i="22"/>
  <c r="K4" i="22"/>
  <c r="L4" i="22"/>
  <c r="V4" i="22"/>
  <c r="L9" i="6"/>
  <c r="G4" i="22"/>
  <c r="J4" i="22"/>
  <c r="C9" i="6"/>
  <c r="H4" i="22"/>
  <c r="Q9" i="6"/>
  <c r="W4" i="22"/>
  <c r="M9" i="6"/>
  <c r="I4" i="22"/>
  <c r="R9" i="6"/>
  <c r="B9" i="6"/>
  <c r="B11" i="24"/>
  <c r="F4" i="22"/>
  <c r="U4" i="22"/>
  <c r="K9" i="6"/>
  <c r="M40" i="22"/>
  <c r="K40" i="22"/>
  <c r="L40" i="22"/>
  <c r="H40" i="22"/>
  <c r="Q45" i="6"/>
  <c r="V40" i="22"/>
  <c r="W40" i="22"/>
  <c r="G40" i="22"/>
  <c r="M45" i="6"/>
  <c r="L45" i="6"/>
  <c r="U40" i="22"/>
  <c r="S40" i="22"/>
  <c r="F40" i="22"/>
  <c r="K45" i="6"/>
  <c r="B47" i="24"/>
  <c r="J40" i="22"/>
  <c r="C45" i="6"/>
  <c r="I40" i="22"/>
  <c r="R45" i="6"/>
  <c r="R40" i="22"/>
  <c r="B45" i="6"/>
  <c r="T40" i="22"/>
  <c r="M69" i="22"/>
  <c r="K69" i="22"/>
  <c r="L69" i="22"/>
  <c r="G69" i="22"/>
  <c r="U69" i="22"/>
  <c r="B74" i="6"/>
  <c r="S69" i="22"/>
  <c r="M74" i="6"/>
  <c r="K74" i="6"/>
  <c r="J69" i="22"/>
  <c r="C74" i="6"/>
  <c r="W69" i="22"/>
  <c r="B76" i="24"/>
  <c r="H69" i="22"/>
  <c r="Q74" i="6"/>
  <c r="L74" i="6"/>
  <c r="I69" i="22"/>
  <c r="R74" i="6"/>
  <c r="V69" i="22"/>
  <c r="F69" i="22"/>
  <c r="R69" i="22"/>
  <c r="T69" i="22"/>
  <c r="M45" i="22"/>
  <c r="K45" i="22"/>
  <c r="L45" i="22"/>
  <c r="I45" i="22"/>
  <c r="R50" i="6"/>
  <c r="G45" i="22"/>
  <c r="W45" i="22"/>
  <c r="T45" i="22"/>
  <c r="J45" i="22"/>
  <c r="C50" i="6"/>
  <c r="B50" i="6"/>
  <c r="K50" i="6"/>
  <c r="H45" i="22"/>
  <c r="Q50" i="6"/>
  <c r="U45" i="22"/>
  <c r="V45" i="22"/>
  <c r="L50" i="6"/>
  <c r="R45" i="22"/>
  <c r="F45" i="22"/>
  <c r="B52" i="24"/>
  <c r="M50" i="6"/>
  <c r="S45" i="22"/>
  <c r="M87" i="22"/>
  <c r="K87" i="22"/>
  <c r="L87" i="22"/>
  <c r="I87" i="22"/>
  <c r="R92" i="6"/>
  <c r="B94" i="24"/>
  <c r="T87" i="22"/>
  <c r="V87" i="22"/>
  <c r="R87" i="22"/>
  <c r="S87" i="22"/>
  <c r="G87" i="22"/>
  <c r="W87" i="22"/>
  <c r="U87" i="22"/>
  <c r="M92" i="6"/>
  <c r="K92" i="6"/>
  <c r="J87" i="22"/>
  <c r="C92" i="6"/>
  <c r="H87" i="22"/>
  <c r="Q92" i="6"/>
  <c r="F87" i="22"/>
  <c r="L92" i="6"/>
  <c r="B92" i="6"/>
  <c r="M12" i="22"/>
  <c r="S12" i="22"/>
  <c r="G12" i="22"/>
  <c r="K12" i="22"/>
  <c r="L12" i="22"/>
  <c r="L17" i="6"/>
  <c r="J12" i="22"/>
  <c r="C17" i="6"/>
  <c r="B19" i="24"/>
  <c r="H12" i="22"/>
  <c r="Q17" i="6"/>
  <c r="U12" i="22"/>
  <c r="M17" i="6"/>
  <c r="T12" i="22"/>
  <c r="B17" i="6"/>
  <c r="F12" i="22"/>
  <c r="R12" i="22"/>
  <c r="W12" i="22"/>
  <c r="I12" i="22"/>
  <c r="R17" i="6"/>
  <c r="V12" i="22"/>
  <c r="K17" i="6"/>
  <c r="M52" i="22"/>
  <c r="K52" i="22"/>
  <c r="L52" i="22"/>
  <c r="B57" i="6"/>
  <c r="W52" i="22"/>
  <c r="B59" i="24"/>
  <c r="V52" i="22"/>
  <c r="R52" i="22"/>
  <c r="G52" i="22"/>
  <c r="L57" i="6"/>
  <c r="F52" i="22"/>
  <c r="J52" i="22"/>
  <c r="C57" i="6"/>
  <c r="I52" i="22"/>
  <c r="R57" i="6"/>
  <c r="U52" i="22"/>
  <c r="H52" i="22"/>
  <c r="Q57" i="6"/>
  <c r="M57" i="6"/>
  <c r="T52" i="22"/>
  <c r="K57" i="6"/>
  <c r="S52" i="22"/>
  <c r="M33" i="22"/>
  <c r="B40" i="24"/>
  <c r="K33" i="22"/>
  <c r="L33" i="22"/>
  <c r="R33" i="22"/>
  <c r="W33" i="22"/>
  <c r="K38" i="6"/>
  <c r="M38" i="6"/>
  <c r="J33" i="22"/>
  <c r="C38" i="6"/>
  <c r="S33" i="22"/>
  <c r="H33" i="22"/>
  <c r="Q38" i="6"/>
  <c r="F33" i="22"/>
  <c r="G33" i="22"/>
  <c r="B38" i="6"/>
  <c r="I33" i="22"/>
  <c r="R38" i="6"/>
  <c r="T33" i="22"/>
  <c r="L38" i="6"/>
  <c r="V33" i="22"/>
  <c r="U33" i="22"/>
  <c r="M13" i="22"/>
  <c r="K13" i="22"/>
  <c r="L13" i="22"/>
  <c r="W13" i="22"/>
  <c r="M18" i="6"/>
  <c r="U13" i="22"/>
  <c r="L18" i="6"/>
  <c r="S13" i="22"/>
  <c r="K18" i="6"/>
  <c r="T13" i="22"/>
  <c r="H13" i="22"/>
  <c r="Q18" i="6"/>
  <c r="I13" i="22"/>
  <c r="R18" i="6"/>
  <c r="R13" i="22"/>
  <c r="B20" i="24"/>
  <c r="J13" i="22"/>
  <c r="C18" i="6"/>
  <c r="F13" i="22"/>
  <c r="G13" i="22"/>
  <c r="V13" i="22"/>
  <c r="B18" i="6"/>
  <c r="K61" i="22"/>
  <c r="L61" i="22"/>
  <c r="M61" i="22"/>
  <c r="H61" i="22"/>
  <c r="Q66" i="6"/>
  <c r="U61" i="22"/>
  <c r="T61" i="22"/>
  <c r="B66" i="6"/>
  <c r="B68" i="24"/>
  <c r="S61" i="22"/>
  <c r="V61" i="22"/>
  <c r="J61" i="22"/>
  <c r="C66" i="6"/>
  <c r="R61" i="22"/>
  <c r="W61" i="22"/>
  <c r="K66" i="6"/>
  <c r="L66" i="6"/>
  <c r="I61" i="22"/>
  <c r="R66" i="6"/>
  <c r="G61" i="22"/>
  <c r="F61" i="22"/>
  <c r="M66" i="6"/>
  <c r="M76" i="22"/>
  <c r="K76" i="22"/>
  <c r="L76" i="22"/>
  <c r="R76" i="22"/>
  <c r="W76" i="22"/>
  <c r="H76" i="22"/>
  <c r="Q81" i="6"/>
  <c r="M81" i="6"/>
  <c r="G76" i="22"/>
  <c r="U76" i="22"/>
  <c r="J76" i="22"/>
  <c r="C81" i="6"/>
  <c r="S76" i="22"/>
  <c r="T76" i="22"/>
  <c r="B83" i="24"/>
  <c r="K81" i="6"/>
  <c r="B81" i="6"/>
  <c r="L81" i="6"/>
  <c r="F76" i="22"/>
  <c r="I76" i="22"/>
  <c r="R81" i="6"/>
  <c r="V76" i="22"/>
  <c r="M95" i="22"/>
  <c r="K95" i="22"/>
  <c r="L95" i="22"/>
  <c r="S95" i="22"/>
  <c r="V95" i="22"/>
  <c r="M100" i="6"/>
  <c r="R95" i="22"/>
  <c r="H95" i="22"/>
  <c r="Q100" i="6"/>
  <c r="B102" i="24"/>
  <c r="L100" i="6"/>
  <c r="J95" i="22"/>
  <c r="C100" i="6"/>
  <c r="W95" i="22"/>
  <c r="K100" i="6"/>
  <c r="G95" i="22"/>
  <c r="I95" i="22"/>
  <c r="R100" i="6"/>
  <c r="T95" i="22"/>
  <c r="B100" i="6"/>
  <c r="U95" i="22"/>
  <c r="F95" i="22"/>
  <c r="M73" i="22"/>
  <c r="K73" i="22"/>
  <c r="L73" i="22"/>
  <c r="I73" i="22"/>
  <c r="R78" i="6"/>
  <c r="M78" i="6"/>
  <c r="B80" i="24"/>
  <c r="V73" i="22"/>
  <c r="J73" i="22"/>
  <c r="C78" i="6"/>
  <c r="T73" i="22"/>
  <c r="U73" i="22"/>
  <c r="S73" i="22"/>
  <c r="W73" i="22"/>
  <c r="R73" i="22"/>
  <c r="G73" i="22"/>
  <c r="B78" i="6"/>
  <c r="L78" i="6"/>
  <c r="H73" i="22"/>
  <c r="Q78" i="6"/>
  <c r="F73" i="22"/>
  <c r="K78" i="6"/>
  <c r="K86" i="22"/>
  <c r="L86" i="22"/>
  <c r="K91" i="6"/>
  <c r="M86" i="22"/>
  <c r="U86" i="22"/>
  <c r="B91" i="6"/>
  <c r="I86" i="22"/>
  <c r="R91" i="6"/>
  <c r="H86" i="22"/>
  <c r="Q91" i="6"/>
  <c r="M91" i="6"/>
  <c r="F86" i="22"/>
  <c r="V86" i="22"/>
  <c r="J86" i="22"/>
  <c r="C91" i="6"/>
  <c r="L91" i="6"/>
  <c r="B93" i="24"/>
  <c r="W86" i="22"/>
  <c r="G86" i="22"/>
  <c r="S86" i="22"/>
  <c r="T86" i="22"/>
  <c r="R86" i="22"/>
  <c r="M6" i="22"/>
  <c r="H6" i="22"/>
  <c r="Q11" i="6"/>
  <c r="G6" i="22"/>
  <c r="F6" i="22"/>
  <c r="K6" i="22"/>
  <c r="L6" i="22"/>
  <c r="B11" i="6"/>
  <c r="V6" i="22"/>
  <c r="L11" i="6"/>
  <c r="B13" i="24"/>
  <c r="I6" i="22"/>
  <c r="R11" i="6"/>
  <c r="U6" i="22"/>
  <c r="K11" i="6"/>
  <c r="W6" i="22"/>
  <c r="M11" i="6"/>
  <c r="J6" i="22"/>
  <c r="C11" i="6"/>
  <c r="M62" i="22"/>
  <c r="K62" i="22"/>
  <c r="L62" i="22"/>
  <c r="U62" i="22"/>
  <c r="W62" i="22"/>
  <c r="I62" i="22"/>
  <c r="R67" i="6"/>
  <c r="B67" i="6"/>
  <c r="H62" i="22"/>
  <c r="Q67" i="6"/>
  <c r="S62" i="22"/>
  <c r="G62" i="22"/>
  <c r="R62" i="22"/>
  <c r="J62" i="22"/>
  <c r="C67" i="6"/>
  <c r="K67" i="6"/>
  <c r="B69" i="24"/>
  <c r="M67" i="6"/>
  <c r="V62" i="22"/>
  <c r="L67" i="6"/>
  <c r="F62" i="22"/>
  <c r="T62" i="22"/>
  <c r="M98" i="22"/>
  <c r="K98" i="22"/>
  <c r="L98" i="22"/>
  <c r="M103" i="6"/>
  <c r="K103" i="6"/>
  <c r="U98" i="22"/>
  <c r="G98" i="22"/>
  <c r="V98" i="22"/>
  <c r="R98" i="22"/>
  <c r="J98" i="22"/>
  <c r="C103" i="6"/>
  <c r="B103" i="6"/>
  <c r="W98" i="22"/>
  <c r="L103" i="6"/>
  <c r="F98" i="22"/>
  <c r="B105" i="24"/>
  <c r="S98" i="22"/>
  <c r="H98" i="22"/>
  <c r="Q103" i="6"/>
  <c r="I98" i="22"/>
  <c r="R103" i="6"/>
  <c r="T98" i="22"/>
  <c r="T105" i="24"/>
  <c r="N103" i="6"/>
  <c r="T69" i="24"/>
  <c r="N67" i="6"/>
  <c r="N91" i="6"/>
  <c r="T93" i="24"/>
  <c r="N100" i="6"/>
  <c r="T102" i="24"/>
  <c r="J92" i="6"/>
  <c r="N94" i="24"/>
  <c r="O87" i="22"/>
  <c r="C94" i="24"/>
  <c r="H92" i="6"/>
  <c r="P87" i="22"/>
  <c r="O94" i="24"/>
  <c r="I94" i="24"/>
  <c r="E92" i="6"/>
  <c r="H94" i="24"/>
  <c r="F92" i="6"/>
  <c r="G94" i="24"/>
  <c r="E94" i="24"/>
  <c r="D92" i="6"/>
  <c r="P94" i="24"/>
  <c r="J94" i="24"/>
  <c r="D94" i="24"/>
  <c r="Q87" i="22"/>
  <c r="I92" i="6"/>
  <c r="G92" i="6"/>
  <c r="P50" i="6"/>
  <c r="V52" i="24"/>
  <c r="V47" i="24"/>
  <c r="P45" i="6"/>
  <c r="U47" i="24"/>
  <c r="O45" i="6"/>
  <c r="I9" i="6"/>
  <c r="D11" i="24"/>
  <c r="H9" i="6"/>
  <c r="C11" i="24"/>
  <c r="G11" i="24"/>
  <c r="H11" i="24"/>
  <c r="E11" i="24"/>
  <c r="O4" i="22"/>
  <c r="R4" i="22"/>
  <c r="J11" i="24"/>
  <c r="J9" i="6"/>
  <c r="N20" i="6"/>
  <c r="T22" i="24"/>
  <c r="T70" i="24"/>
  <c r="N68" i="6"/>
  <c r="H60" i="6"/>
  <c r="I60" i="6"/>
  <c r="Q55" i="22"/>
  <c r="J60" i="6"/>
  <c r="O55" i="22"/>
  <c r="N62" i="24"/>
  <c r="I62" i="24"/>
  <c r="E62" i="24"/>
  <c r="O62" i="24"/>
  <c r="C62" i="24"/>
  <c r="D60" i="6"/>
  <c r="G60" i="6"/>
  <c r="D62" i="24"/>
  <c r="J62" i="24"/>
  <c r="P55" i="22"/>
  <c r="G62" i="24"/>
  <c r="E60" i="6"/>
  <c r="P62" i="24"/>
  <c r="F60" i="6"/>
  <c r="H62" i="24"/>
  <c r="T62" i="24"/>
  <c r="N60" i="6"/>
  <c r="O106" i="6"/>
  <c r="U108" i="24"/>
  <c r="U29" i="24"/>
  <c r="O27" i="6"/>
  <c r="V86" i="24"/>
  <c r="P84" i="6"/>
  <c r="V23" i="24"/>
  <c r="P21" i="6"/>
  <c r="H73" i="6"/>
  <c r="P68" i="22"/>
  <c r="N75" i="24"/>
  <c r="E75" i="24"/>
  <c r="H75" i="24"/>
  <c r="F73" i="6"/>
  <c r="P75" i="24"/>
  <c r="Q68" i="22"/>
  <c r="I73" i="6"/>
  <c r="O75" i="24"/>
  <c r="E73" i="6"/>
  <c r="J75" i="24"/>
  <c r="G73" i="6"/>
  <c r="C75" i="24"/>
  <c r="I75" i="24"/>
  <c r="D75" i="24"/>
  <c r="J73" i="6"/>
  <c r="D73" i="6"/>
  <c r="O68" i="22"/>
  <c r="G75" i="24"/>
  <c r="J79" i="24"/>
  <c r="J77" i="6"/>
  <c r="H77" i="6"/>
  <c r="I77" i="6"/>
  <c r="Q72" i="22"/>
  <c r="H79" i="24"/>
  <c r="D79" i="24"/>
  <c r="O72" i="22"/>
  <c r="C79" i="24"/>
  <c r="G77" i="6"/>
  <c r="I79" i="24"/>
  <c r="D77" i="6"/>
  <c r="G79" i="24"/>
  <c r="P72" i="22"/>
  <c r="F77" i="6"/>
  <c r="E77" i="6"/>
  <c r="E79" i="24"/>
  <c r="N79" i="24"/>
  <c r="P79" i="24"/>
  <c r="O79" i="24"/>
  <c r="N59" i="6"/>
  <c r="T61" i="24"/>
  <c r="U27" i="24"/>
  <c r="O25" i="6"/>
  <c r="N103" i="22"/>
  <c r="S108" i="6"/>
  <c r="H87" i="6"/>
  <c r="J87" i="6"/>
  <c r="I87" i="6"/>
  <c r="F87" i="6"/>
  <c r="E89" i="24"/>
  <c r="P82" i="22"/>
  <c r="O89" i="24"/>
  <c r="D89" i="24"/>
  <c r="P89" i="24"/>
  <c r="E87" i="6"/>
  <c r="C89" i="24"/>
  <c r="Q82" i="22"/>
  <c r="H89" i="24"/>
  <c r="G89" i="24"/>
  <c r="J89" i="24"/>
  <c r="I89" i="24"/>
  <c r="O82" i="22"/>
  <c r="N89" i="24"/>
  <c r="D87" i="6"/>
  <c r="G87" i="6"/>
  <c r="N102" i="6"/>
  <c r="T104" i="24"/>
  <c r="V63" i="24"/>
  <c r="P61" i="6"/>
  <c r="O63" i="6"/>
  <c r="U65" i="24"/>
  <c r="P63" i="6"/>
  <c r="V65" i="24"/>
  <c r="V36" i="24"/>
  <c r="P34" i="6"/>
  <c r="J34" i="6"/>
  <c r="I34" i="6"/>
  <c r="E36" i="24"/>
  <c r="O29" i="22"/>
  <c r="Q29" i="22"/>
  <c r="N36" i="24"/>
  <c r="F34" i="6"/>
  <c r="H34" i="6"/>
  <c r="D36" i="24"/>
  <c r="G34" i="6"/>
  <c r="H36" i="24"/>
  <c r="P36" i="24"/>
  <c r="D34" i="6"/>
  <c r="J36" i="24"/>
  <c r="E34" i="6"/>
  <c r="I36" i="24"/>
  <c r="G36" i="24"/>
  <c r="O36" i="24"/>
  <c r="C36" i="24"/>
  <c r="P29" i="22"/>
  <c r="N15" i="6"/>
  <c r="T17" i="24"/>
  <c r="T95" i="24"/>
  <c r="N93" i="6"/>
  <c r="T30" i="24"/>
  <c r="N28" i="6"/>
  <c r="H14" i="6"/>
  <c r="P16" i="24"/>
  <c r="I14" i="6"/>
  <c r="G14" i="6"/>
  <c r="Q9" i="22"/>
  <c r="I16" i="24"/>
  <c r="G16" i="24"/>
  <c r="D14" i="6"/>
  <c r="O16" i="24"/>
  <c r="F14" i="6"/>
  <c r="E16" i="24"/>
  <c r="J16" i="24"/>
  <c r="D16" i="24"/>
  <c r="E14" i="6"/>
  <c r="J14" i="6"/>
  <c r="O9" i="22"/>
  <c r="C16" i="24"/>
  <c r="H16" i="24"/>
  <c r="N16" i="24"/>
  <c r="P9" i="22"/>
  <c r="N23" i="6"/>
  <c r="T25" i="24"/>
  <c r="J69" i="6"/>
  <c r="H69" i="6"/>
  <c r="P71" i="24"/>
  <c r="C71" i="24"/>
  <c r="N71" i="24"/>
  <c r="I69" i="6"/>
  <c r="O64" i="22"/>
  <c r="I71" i="24"/>
  <c r="D69" i="6"/>
  <c r="O71" i="24"/>
  <c r="E69" i="6"/>
  <c r="G71" i="24"/>
  <c r="P64" i="22"/>
  <c r="H71" i="24"/>
  <c r="Q64" i="22"/>
  <c r="E71" i="24"/>
  <c r="G69" i="6"/>
  <c r="J71" i="24"/>
  <c r="D71" i="24"/>
  <c r="F69" i="6"/>
  <c r="U87" i="24"/>
  <c r="O85" i="6"/>
  <c r="T42" i="24"/>
  <c r="N40" i="6"/>
  <c r="N89" i="6"/>
  <c r="T91" i="24"/>
  <c r="V97" i="24"/>
  <c r="P95" i="6"/>
  <c r="V82" i="24"/>
  <c r="P80" i="6"/>
  <c r="T82" i="24"/>
  <c r="N80" i="6"/>
  <c r="O42" i="6"/>
  <c r="U44" i="24"/>
  <c r="U15" i="24"/>
  <c r="O13" i="6"/>
  <c r="P33" i="6"/>
  <c r="V35" i="24"/>
  <c r="N33" i="6"/>
  <c r="T35" i="24"/>
  <c r="S86" i="6"/>
  <c r="N81" i="22"/>
  <c r="N76" i="6"/>
  <c r="T78" i="24"/>
  <c r="O82" i="6"/>
  <c r="U84" i="24"/>
  <c r="I75" i="6"/>
  <c r="J75" i="6"/>
  <c r="Q70" i="22"/>
  <c r="J77" i="24"/>
  <c r="E75" i="6"/>
  <c r="P70" i="22"/>
  <c r="H77" i="24"/>
  <c r="O70" i="22"/>
  <c r="D77" i="24"/>
  <c r="D75" i="6"/>
  <c r="H75" i="6"/>
  <c r="E77" i="24"/>
  <c r="N77" i="24"/>
  <c r="F75" i="6"/>
  <c r="O77" i="24"/>
  <c r="P77" i="24"/>
  <c r="I77" i="24"/>
  <c r="G75" i="6"/>
  <c r="G77" i="24"/>
  <c r="C77" i="24"/>
  <c r="V106" i="24"/>
  <c r="P104" i="6"/>
  <c r="I104" i="6"/>
  <c r="I106" i="24"/>
  <c r="H106" i="24"/>
  <c r="D106" i="24"/>
  <c r="D104" i="6"/>
  <c r="N106" i="24"/>
  <c r="C106" i="24"/>
  <c r="G106" i="24"/>
  <c r="E106" i="24"/>
  <c r="O99" i="22"/>
  <c r="G104" i="6"/>
  <c r="P106" i="24"/>
  <c r="P99" i="22"/>
  <c r="J104" i="6"/>
  <c r="H104" i="6"/>
  <c r="E104" i="6"/>
  <c r="F104" i="6"/>
  <c r="Q99" i="22"/>
  <c r="J106" i="24"/>
  <c r="O106" i="24"/>
  <c r="T28" i="24"/>
  <c r="N26" i="6"/>
  <c r="H56" i="6"/>
  <c r="I56" i="6"/>
  <c r="E58" i="24"/>
  <c r="J56" i="6"/>
  <c r="P58" i="24"/>
  <c r="O58" i="24"/>
  <c r="E56" i="6"/>
  <c r="G58" i="24"/>
  <c r="Q51" i="22"/>
  <c r="I58" i="24"/>
  <c r="D56" i="6"/>
  <c r="O51" i="22"/>
  <c r="P51" i="22"/>
  <c r="F56" i="6"/>
  <c r="C58" i="24"/>
  <c r="D58" i="24"/>
  <c r="H58" i="24"/>
  <c r="N58" i="24"/>
  <c r="J58" i="24"/>
  <c r="G56" i="6"/>
  <c r="U34" i="24"/>
  <c r="O32" i="6"/>
  <c r="J30" i="6"/>
  <c r="I30" i="6"/>
  <c r="P25" i="22"/>
  <c r="H30" i="6"/>
  <c r="D30" i="6"/>
  <c r="J32" i="24"/>
  <c r="P32" i="24"/>
  <c r="G30" i="6"/>
  <c r="G32" i="24"/>
  <c r="F30" i="6"/>
  <c r="I32" i="24"/>
  <c r="C32" i="24"/>
  <c r="H32" i="24"/>
  <c r="N32" i="24"/>
  <c r="E30" i="6"/>
  <c r="O32" i="24"/>
  <c r="E32" i="24"/>
  <c r="D32" i="24"/>
  <c r="Q25" i="22"/>
  <c r="O25" i="22"/>
  <c r="P30" i="6"/>
  <c r="V32" i="24"/>
  <c r="V43" i="24"/>
  <c r="P41" i="6"/>
  <c r="I41" i="6"/>
  <c r="H41" i="6"/>
  <c r="G41" i="6"/>
  <c r="G43" i="24"/>
  <c r="D41" i="6"/>
  <c r="O43" i="24"/>
  <c r="F41" i="6"/>
  <c r="C43" i="24"/>
  <c r="J41" i="6"/>
  <c r="J43" i="24"/>
  <c r="P43" i="24"/>
  <c r="N43" i="24"/>
  <c r="Q36" i="22"/>
  <c r="H43" i="24"/>
  <c r="P36" i="22"/>
  <c r="E43" i="24"/>
  <c r="D43" i="24"/>
  <c r="E41" i="6"/>
  <c r="O36" i="22"/>
  <c r="I43" i="24"/>
  <c r="T100" i="24"/>
  <c r="N98" i="6"/>
  <c r="V100" i="24"/>
  <c r="P98" i="6"/>
  <c r="J79" i="6"/>
  <c r="I79" i="6"/>
  <c r="E81" i="24"/>
  <c r="N81" i="24"/>
  <c r="C81" i="24"/>
  <c r="E79" i="6"/>
  <c r="F79" i="6"/>
  <c r="O81" i="24"/>
  <c r="O74" i="22"/>
  <c r="J81" i="24"/>
  <c r="G81" i="24"/>
  <c r="D81" i="24"/>
  <c r="H79" i="6"/>
  <c r="Q74" i="22"/>
  <c r="I81" i="24"/>
  <c r="P74" i="22"/>
  <c r="D79" i="6"/>
  <c r="G79" i="6"/>
  <c r="P81" i="24"/>
  <c r="H81" i="24"/>
  <c r="V92" i="24"/>
  <c r="P90" i="6"/>
  <c r="N48" i="6"/>
  <c r="T50" i="24"/>
  <c r="P48" i="6"/>
  <c r="V50" i="24"/>
  <c r="N60" i="22"/>
  <c r="S65" i="6"/>
  <c r="O43" i="6"/>
  <c r="U45" i="24"/>
  <c r="H19" i="6"/>
  <c r="F19" i="6"/>
  <c r="I19" i="6"/>
  <c r="J19" i="6"/>
  <c r="D21" i="24"/>
  <c r="Q14" i="22"/>
  <c r="O14" i="22"/>
  <c r="P14" i="22"/>
  <c r="C21" i="24"/>
  <c r="O21" i="24"/>
  <c r="J21" i="24"/>
  <c r="H21" i="24"/>
  <c r="P21" i="24"/>
  <c r="E19" i="6"/>
  <c r="G21" i="24"/>
  <c r="N21" i="24"/>
  <c r="D19" i="6"/>
  <c r="G19" i="6"/>
  <c r="E21" i="24"/>
  <c r="I21" i="24"/>
  <c r="N64" i="6"/>
  <c r="T66" i="24"/>
  <c r="U66" i="24"/>
  <c r="O64" i="6"/>
  <c r="V107" i="24"/>
  <c r="P105" i="6"/>
  <c r="H105" i="6"/>
  <c r="I105" i="6"/>
  <c r="J107" i="24"/>
  <c r="O107" i="24"/>
  <c r="H107" i="24"/>
  <c r="E105" i="6"/>
  <c r="I107" i="24"/>
  <c r="P107" i="24"/>
  <c r="D105" i="6"/>
  <c r="P100" i="22"/>
  <c r="N107" i="24"/>
  <c r="E107" i="24"/>
  <c r="G105" i="6"/>
  <c r="D107" i="24"/>
  <c r="Q100" i="22"/>
  <c r="F105" i="6"/>
  <c r="J105" i="6"/>
  <c r="O100" i="22"/>
  <c r="C107" i="24"/>
  <c r="G107" i="24"/>
  <c r="U107" i="24"/>
  <c r="O105" i="6"/>
  <c r="O83" i="6"/>
  <c r="U85" i="24"/>
  <c r="U105" i="24"/>
  <c r="O103" i="6"/>
  <c r="J67" i="6"/>
  <c r="I67" i="6"/>
  <c r="H67" i="6"/>
  <c r="F67" i="6"/>
  <c r="N69" i="24"/>
  <c r="P69" i="24"/>
  <c r="E67" i="6"/>
  <c r="O62" i="22"/>
  <c r="C69" i="24"/>
  <c r="P62" i="22"/>
  <c r="D69" i="24"/>
  <c r="D67" i="6"/>
  <c r="O69" i="24"/>
  <c r="E69" i="24"/>
  <c r="Q62" i="22"/>
  <c r="G69" i="24"/>
  <c r="G67" i="6"/>
  <c r="H69" i="24"/>
  <c r="I69" i="24"/>
  <c r="J69" i="24"/>
  <c r="N62" i="22"/>
  <c r="S67" i="6"/>
  <c r="V93" i="24"/>
  <c r="P91" i="6"/>
  <c r="G93" i="24"/>
  <c r="H91" i="6"/>
  <c r="J91" i="6"/>
  <c r="I91" i="6"/>
  <c r="Q86" i="22"/>
  <c r="E93" i="24"/>
  <c r="P93" i="24"/>
  <c r="D93" i="24"/>
  <c r="I93" i="24"/>
  <c r="N93" i="24"/>
  <c r="D91" i="6"/>
  <c r="C93" i="24"/>
  <c r="O86" i="22"/>
  <c r="H93" i="24"/>
  <c r="F91" i="6"/>
  <c r="J93" i="24"/>
  <c r="E91" i="6"/>
  <c r="G91" i="6"/>
  <c r="P86" i="22"/>
  <c r="O93" i="24"/>
  <c r="N95" i="22"/>
  <c r="S100" i="6"/>
  <c r="P81" i="6"/>
  <c r="V83" i="24"/>
  <c r="N81" i="6"/>
  <c r="T83" i="24"/>
  <c r="P66" i="6"/>
  <c r="V68" i="24"/>
  <c r="U20" i="24"/>
  <c r="O18" i="6"/>
  <c r="O38" i="6"/>
  <c r="U40" i="24"/>
  <c r="N33" i="22"/>
  <c r="S38" i="6"/>
  <c r="T59" i="24"/>
  <c r="N57" i="6"/>
  <c r="S17" i="6"/>
  <c r="N12" i="22"/>
  <c r="N92" i="6"/>
  <c r="T94" i="24"/>
  <c r="S50" i="6"/>
  <c r="N45" i="22"/>
  <c r="I74" i="6"/>
  <c r="J74" i="6"/>
  <c r="P69" i="22"/>
  <c r="E74" i="6"/>
  <c r="N76" i="24"/>
  <c r="F74" i="6"/>
  <c r="O76" i="24"/>
  <c r="G76" i="24"/>
  <c r="G74" i="6"/>
  <c r="Q69" i="22"/>
  <c r="I76" i="24"/>
  <c r="D74" i="6"/>
  <c r="P76" i="24"/>
  <c r="C76" i="24"/>
  <c r="E76" i="24"/>
  <c r="J76" i="24"/>
  <c r="O69" i="22"/>
  <c r="H76" i="24"/>
  <c r="D76" i="24"/>
  <c r="H74" i="6"/>
  <c r="I45" i="6"/>
  <c r="H45" i="6"/>
  <c r="C47" i="24"/>
  <c r="J45" i="6"/>
  <c r="O47" i="24"/>
  <c r="N47" i="24"/>
  <c r="D47" i="24"/>
  <c r="D45" i="6"/>
  <c r="F45" i="6"/>
  <c r="I47" i="24"/>
  <c r="P40" i="22"/>
  <c r="H47" i="24"/>
  <c r="E47" i="24"/>
  <c r="E45" i="6"/>
  <c r="O40" i="22"/>
  <c r="P47" i="24"/>
  <c r="G45" i="6"/>
  <c r="G47" i="24"/>
  <c r="J47" i="24"/>
  <c r="Q40" i="22"/>
  <c r="N40" i="22"/>
  <c r="S45" i="6"/>
  <c r="V101" i="24"/>
  <c r="P99" i="6"/>
  <c r="N94" i="22"/>
  <c r="S99" i="6"/>
  <c r="T33" i="24"/>
  <c r="N31" i="6"/>
  <c r="G31" i="6"/>
  <c r="H31" i="6"/>
  <c r="J31" i="6"/>
  <c r="C33" i="24"/>
  <c r="O33" i="24"/>
  <c r="I31" i="6"/>
  <c r="P33" i="24"/>
  <c r="D31" i="6"/>
  <c r="Q26" i="22"/>
  <c r="E33" i="24"/>
  <c r="F31" i="6"/>
  <c r="N33" i="24"/>
  <c r="J33" i="24"/>
  <c r="I33" i="24"/>
  <c r="E31" i="6"/>
  <c r="P26" i="22"/>
  <c r="O26" i="22"/>
  <c r="H33" i="24"/>
  <c r="D33" i="24"/>
  <c r="G33" i="24"/>
  <c r="V56" i="24"/>
  <c r="P54" i="6"/>
  <c r="N54" i="6"/>
  <c r="T56" i="24"/>
  <c r="N49" i="22"/>
  <c r="S54" i="6"/>
  <c r="U70" i="24"/>
  <c r="O68" i="6"/>
  <c r="H68" i="6"/>
  <c r="I68" i="6"/>
  <c r="G68" i="6"/>
  <c r="C70" i="24"/>
  <c r="E68" i="6"/>
  <c r="J68" i="6"/>
  <c r="J70" i="24"/>
  <c r="O63" i="22"/>
  <c r="D70" i="24"/>
  <c r="D68" i="6"/>
  <c r="P70" i="24"/>
  <c r="Q63" i="22"/>
  <c r="O70" i="24"/>
  <c r="P63" i="22"/>
  <c r="N70" i="24"/>
  <c r="G70" i="24"/>
  <c r="E70" i="24"/>
  <c r="I70" i="24"/>
  <c r="F68" i="6"/>
  <c r="H70" i="24"/>
  <c r="N63" i="22"/>
  <c r="S68" i="6"/>
  <c r="O52" i="6"/>
  <c r="U54" i="24"/>
  <c r="U48" i="24"/>
  <c r="O46" i="6"/>
  <c r="J46" i="6"/>
  <c r="I46" i="6"/>
  <c r="G46" i="6"/>
  <c r="N48" i="24"/>
  <c r="C48" i="24"/>
  <c r="P48" i="24"/>
  <c r="D46" i="6"/>
  <c r="H46" i="6"/>
  <c r="O48" i="24"/>
  <c r="E46" i="6"/>
  <c r="J48" i="24"/>
  <c r="F46" i="6"/>
  <c r="D48" i="24"/>
  <c r="H48" i="24"/>
  <c r="I48" i="24"/>
  <c r="G48" i="24"/>
  <c r="P41" i="22"/>
  <c r="Q41" i="22"/>
  <c r="E48" i="24"/>
  <c r="O41" i="22"/>
  <c r="N41" i="22"/>
  <c r="S46" i="6"/>
  <c r="I88" i="6"/>
  <c r="H88" i="6"/>
  <c r="P90" i="24"/>
  <c r="J88" i="6"/>
  <c r="F88" i="6"/>
  <c r="E88" i="6"/>
  <c r="H90" i="24"/>
  <c r="D90" i="24"/>
  <c r="D88" i="6"/>
  <c r="O83" i="22"/>
  <c r="N90" i="24"/>
  <c r="I90" i="24"/>
  <c r="Q83" i="22"/>
  <c r="G88" i="6"/>
  <c r="G90" i="24"/>
  <c r="C90" i="24"/>
  <c r="P83" i="22"/>
  <c r="O90" i="24"/>
  <c r="E90" i="24"/>
  <c r="J90" i="24"/>
  <c r="U90" i="24"/>
  <c r="O88" i="6"/>
  <c r="N55" i="22"/>
  <c r="S60" i="6"/>
  <c r="P29" i="6"/>
  <c r="V31" i="24"/>
  <c r="V108" i="24"/>
  <c r="P106" i="6"/>
  <c r="J106" i="6"/>
  <c r="I106" i="6"/>
  <c r="G106" i="6"/>
  <c r="G108" i="24"/>
  <c r="E108" i="24"/>
  <c r="P101" i="22"/>
  <c r="P108" i="24"/>
  <c r="H106" i="6"/>
  <c r="O108" i="24"/>
  <c r="D106" i="6"/>
  <c r="C108" i="24"/>
  <c r="F106" i="6"/>
  <c r="O101" i="22"/>
  <c r="N108" i="24"/>
  <c r="Q101" i="22"/>
  <c r="H108" i="24"/>
  <c r="J108" i="24"/>
  <c r="I108" i="24"/>
  <c r="D108" i="24"/>
  <c r="E106" i="6"/>
  <c r="N101" i="22"/>
  <c r="S106" i="6"/>
  <c r="T29" i="24"/>
  <c r="N27" i="6"/>
  <c r="U86" i="24"/>
  <c r="O84" i="6"/>
  <c r="T86" i="24"/>
  <c r="N84" i="6"/>
  <c r="N79" i="22"/>
  <c r="S84" i="6"/>
  <c r="O58" i="6"/>
  <c r="U60" i="24"/>
  <c r="J21" i="6"/>
  <c r="H21" i="6"/>
  <c r="I21" i="6"/>
  <c r="D21" i="6"/>
  <c r="Q16" i="22"/>
  <c r="D23" i="24"/>
  <c r="G21" i="6"/>
  <c r="F21" i="6"/>
  <c r="N23" i="24"/>
  <c r="J23" i="24"/>
  <c r="H23" i="24"/>
  <c r="G23" i="24"/>
  <c r="P16" i="22"/>
  <c r="I23" i="24"/>
  <c r="E21" i="6"/>
  <c r="P23" i="24"/>
  <c r="O23" i="24"/>
  <c r="C23" i="24"/>
  <c r="O16" i="22"/>
  <c r="E23" i="24"/>
  <c r="V75" i="24"/>
  <c r="P73" i="6"/>
  <c r="U75" i="24"/>
  <c r="O73" i="6"/>
  <c r="N68" i="22"/>
  <c r="S73" i="6"/>
  <c r="N17" i="22"/>
  <c r="S22" i="6"/>
  <c r="H59" i="6"/>
  <c r="N61" i="24"/>
  <c r="I59" i="6"/>
  <c r="J59" i="6"/>
  <c r="D61" i="24"/>
  <c r="P54" i="22"/>
  <c r="Q54" i="22"/>
  <c r="E61" i="24"/>
  <c r="O54" i="22"/>
  <c r="P61" i="24"/>
  <c r="F59" i="6"/>
  <c r="C61" i="24"/>
  <c r="E59" i="6"/>
  <c r="H61" i="24"/>
  <c r="O61" i="24"/>
  <c r="G59" i="6"/>
  <c r="I61" i="24"/>
  <c r="J61" i="24"/>
  <c r="G61" i="24"/>
  <c r="D59" i="6"/>
  <c r="I25" i="6"/>
  <c r="H25" i="6"/>
  <c r="D25" i="6"/>
  <c r="G27" i="24"/>
  <c r="G25" i="6"/>
  <c r="E25" i="6"/>
  <c r="J25" i="6"/>
  <c r="H27" i="24"/>
  <c r="O27" i="24"/>
  <c r="E27" i="24"/>
  <c r="J27" i="24"/>
  <c r="N27" i="24"/>
  <c r="O20" i="22"/>
  <c r="I27" i="24"/>
  <c r="F25" i="6"/>
  <c r="P20" i="22"/>
  <c r="P27" i="24"/>
  <c r="C27" i="24"/>
  <c r="Q20" i="22"/>
  <c r="D27" i="24"/>
  <c r="V27" i="24"/>
  <c r="P25" i="6"/>
  <c r="N20" i="22"/>
  <c r="S25" i="6"/>
  <c r="J107" i="6"/>
  <c r="I107" i="6"/>
  <c r="H107" i="6"/>
  <c r="J109" i="24"/>
  <c r="E107" i="6"/>
  <c r="F107" i="6"/>
  <c r="H109" i="24"/>
  <c r="G107" i="6"/>
  <c r="D109" i="24"/>
  <c r="G109" i="24"/>
  <c r="C109" i="24"/>
  <c r="E109" i="24"/>
  <c r="D107" i="6"/>
  <c r="Q102" i="22"/>
  <c r="P109" i="24"/>
  <c r="I109" i="24"/>
  <c r="O109" i="24"/>
  <c r="P102" i="22"/>
  <c r="N109" i="24"/>
  <c r="O102" i="22"/>
  <c r="N89" i="22"/>
  <c r="S94" i="6"/>
  <c r="O53" i="6"/>
  <c r="U55" i="24"/>
  <c r="I53" i="6"/>
  <c r="H53" i="6"/>
  <c r="E55" i="24"/>
  <c r="G55" i="24"/>
  <c r="H55" i="24"/>
  <c r="Q48" i="22"/>
  <c r="I55" i="24"/>
  <c r="D55" i="24"/>
  <c r="E53" i="6"/>
  <c r="J55" i="24"/>
  <c r="J53" i="6"/>
  <c r="D53" i="6"/>
  <c r="N55" i="24"/>
  <c r="F53" i="6"/>
  <c r="P55" i="24"/>
  <c r="O55" i="24"/>
  <c r="P48" i="22"/>
  <c r="O48" i="22"/>
  <c r="G53" i="6"/>
  <c r="C55" i="24"/>
  <c r="V74" i="24"/>
  <c r="P72" i="6"/>
  <c r="O72" i="6"/>
  <c r="U74" i="24"/>
  <c r="V46" i="24"/>
  <c r="P44" i="6"/>
  <c r="N39" i="22"/>
  <c r="S44" i="6"/>
  <c r="T89" i="24"/>
  <c r="N87" i="6"/>
  <c r="V89" i="24"/>
  <c r="P87" i="6"/>
  <c r="U89" i="24"/>
  <c r="O87" i="6"/>
  <c r="P55" i="6"/>
  <c r="V57" i="24"/>
  <c r="N50" i="22"/>
  <c r="S55" i="6"/>
  <c r="O102" i="6"/>
  <c r="U104" i="24"/>
  <c r="P102" i="6"/>
  <c r="V104" i="24"/>
  <c r="O62" i="6"/>
  <c r="U64" i="24"/>
  <c r="N62" i="6"/>
  <c r="T64" i="24"/>
  <c r="S62" i="6"/>
  <c r="N57" i="22"/>
  <c r="I61" i="6"/>
  <c r="H61" i="6"/>
  <c r="D63" i="24"/>
  <c r="N63" i="24"/>
  <c r="G63" i="24"/>
  <c r="H63" i="24"/>
  <c r="F61" i="6"/>
  <c r="J61" i="6"/>
  <c r="J63" i="24"/>
  <c r="D61" i="6"/>
  <c r="C63" i="24"/>
  <c r="I63" i="24"/>
  <c r="Q56" i="22"/>
  <c r="P56" i="22"/>
  <c r="P63" i="24"/>
  <c r="E63" i="24"/>
  <c r="O56" i="22"/>
  <c r="E61" i="6"/>
  <c r="O63" i="24"/>
  <c r="G61" i="6"/>
  <c r="N61" i="6"/>
  <c r="T63" i="24"/>
  <c r="N58" i="22"/>
  <c r="S63" i="6"/>
  <c r="U36" i="24"/>
  <c r="O34" i="6"/>
  <c r="U17" i="24"/>
  <c r="O15" i="6"/>
  <c r="N10" i="22"/>
  <c r="S15" i="6"/>
  <c r="N23" i="22"/>
  <c r="S28" i="6"/>
  <c r="V16" i="24"/>
  <c r="P14" i="6"/>
  <c r="J23" i="6"/>
  <c r="I23" i="6"/>
  <c r="H23" i="6"/>
  <c r="O18" i="22"/>
  <c r="H25" i="24"/>
  <c r="I25" i="24"/>
  <c r="C25" i="24"/>
  <c r="G25" i="24"/>
  <c r="F23" i="6"/>
  <c r="D25" i="24"/>
  <c r="O25" i="24"/>
  <c r="N25" i="24"/>
  <c r="E23" i="6"/>
  <c r="P18" i="22"/>
  <c r="Q18" i="22"/>
  <c r="E25" i="24"/>
  <c r="G23" i="6"/>
  <c r="D23" i="6"/>
  <c r="P25" i="24"/>
  <c r="J25" i="24"/>
  <c r="O23" i="6"/>
  <c r="U25" i="24"/>
  <c r="N18" i="22"/>
  <c r="S23" i="6"/>
  <c r="N69" i="6"/>
  <c r="T71" i="24"/>
  <c r="V71" i="24"/>
  <c r="P69" i="6"/>
  <c r="P85" i="6"/>
  <c r="V87" i="24"/>
  <c r="N80" i="22"/>
  <c r="S85" i="6"/>
  <c r="N96" i="6"/>
  <c r="T98" i="24"/>
  <c r="S96" i="6"/>
  <c r="N91" i="22"/>
  <c r="V26" i="24"/>
  <c r="P24" i="6"/>
  <c r="N24" i="6"/>
  <c r="T26" i="24"/>
  <c r="N19" i="22"/>
  <c r="S24" i="6"/>
  <c r="P89" i="6"/>
  <c r="V91" i="24"/>
  <c r="S95" i="6"/>
  <c r="N90" i="22"/>
  <c r="T37" i="24"/>
  <c r="N35" i="6"/>
  <c r="P35" i="6"/>
  <c r="V37" i="24"/>
  <c r="S80" i="6"/>
  <c r="N75" i="22"/>
  <c r="P42" i="6"/>
  <c r="V44" i="24"/>
  <c r="H36" i="6"/>
  <c r="J36" i="6"/>
  <c r="I36" i="6"/>
  <c r="D38" i="24"/>
  <c r="O31" i="22"/>
  <c r="P31" i="22"/>
  <c r="P38" i="24"/>
  <c r="D36" i="6"/>
  <c r="Q31" i="22"/>
  <c r="N38" i="24"/>
  <c r="F36" i="6"/>
  <c r="E38" i="24"/>
  <c r="J38" i="24"/>
  <c r="C38" i="24"/>
  <c r="E36" i="6"/>
  <c r="O38" i="24"/>
  <c r="H38" i="24"/>
  <c r="I38" i="24"/>
  <c r="G38" i="24"/>
  <c r="G36" i="6"/>
  <c r="N31" i="22"/>
  <c r="S36" i="6"/>
  <c r="N28" i="22"/>
  <c r="S33" i="6"/>
  <c r="U88" i="24"/>
  <c r="O86" i="6"/>
  <c r="P76" i="6"/>
  <c r="V78" i="24"/>
  <c r="N71" i="22"/>
  <c r="S76" i="6"/>
  <c r="V49" i="24"/>
  <c r="P47" i="6"/>
  <c r="N77" i="22"/>
  <c r="S82" i="6"/>
  <c r="T77" i="24"/>
  <c r="N75" i="6"/>
  <c r="P75" i="6"/>
  <c r="V77" i="24"/>
  <c r="N99" i="22"/>
  <c r="S104" i="6"/>
  <c r="U53" i="24"/>
  <c r="O51" i="6"/>
  <c r="V28" i="24"/>
  <c r="P26" i="6"/>
  <c r="S26" i="6"/>
  <c r="N21" i="22"/>
  <c r="V58" i="24"/>
  <c r="P56" i="6"/>
  <c r="T73" i="24"/>
  <c r="N71" i="6"/>
  <c r="P71" i="6"/>
  <c r="V73" i="24"/>
  <c r="N66" i="22"/>
  <c r="S71" i="6"/>
  <c r="P32" i="6"/>
  <c r="V34" i="24"/>
  <c r="F32" i="6"/>
  <c r="H32" i="6"/>
  <c r="I34" i="24"/>
  <c r="E32" i="6"/>
  <c r="J32" i="6"/>
  <c r="N34" i="24"/>
  <c r="J34" i="24"/>
  <c r="D34" i="24"/>
  <c r="I32" i="6"/>
  <c r="D32" i="6"/>
  <c r="H34" i="24"/>
  <c r="Q27" i="22"/>
  <c r="P34" i="24"/>
  <c r="E34" i="24"/>
  <c r="O34" i="24"/>
  <c r="O27" i="22"/>
  <c r="G34" i="24"/>
  <c r="C34" i="24"/>
  <c r="G32" i="6"/>
  <c r="P27" i="22"/>
  <c r="J12" i="6"/>
  <c r="D14" i="24"/>
  <c r="H12" i="6"/>
  <c r="O7" i="22"/>
  <c r="R7" i="22"/>
  <c r="E14" i="24"/>
  <c r="I12" i="6"/>
  <c r="J14" i="24"/>
  <c r="C14" i="24"/>
  <c r="G14" i="24"/>
  <c r="N7" i="22"/>
  <c r="S12" i="6"/>
  <c r="V51" i="24"/>
  <c r="P49" i="6"/>
  <c r="N49" i="6"/>
  <c r="T51" i="24"/>
  <c r="O30" i="6"/>
  <c r="U32" i="24"/>
  <c r="N25" i="22"/>
  <c r="S30" i="6"/>
  <c r="N41" i="6"/>
  <c r="T43" i="24"/>
  <c r="U43" i="24"/>
  <c r="O41" i="6"/>
  <c r="N93" i="22"/>
  <c r="S98" i="6"/>
  <c r="N79" i="6"/>
  <c r="T81" i="24"/>
  <c r="N74" i="22"/>
  <c r="S79" i="6"/>
  <c r="U92" i="24"/>
  <c r="O90" i="6"/>
  <c r="T92" i="24"/>
  <c r="N90" i="6"/>
  <c r="N85" i="22"/>
  <c r="S90" i="6"/>
  <c r="P16" i="6"/>
  <c r="V18" i="24"/>
  <c r="O48" i="6"/>
  <c r="U50" i="24"/>
  <c r="H48" i="6"/>
  <c r="I48" i="6"/>
  <c r="O43" i="22"/>
  <c r="J48" i="6"/>
  <c r="H50" i="24"/>
  <c r="G48" i="6"/>
  <c r="O50" i="24"/>
  <c r="C50" i="24"/>
  <c r="D48" i="6"/>
  <c r="D50" i="24"/>
  <c r="E48" i="6"/>
  <c r="F48" i="6"/>
  <c r="E50" i="24"/>
  <c r="N50" i="24"/>
  <c r="G50" i="24"/>
  <c r="P43" i="22"/>
  <c r="I50" i="24"/>
  <c r="P50" i="24"/>
  <c r="Q43" i="22"/>
  <c r="J50" i="24"/>
  <c r="N43" i="22"/>
  <c r="S48" i="6"/>
  <c r="E39" i="24"/>
  <c r="J37" i="6"/>
  <c r="O32" i="22"/>
  <c r="G39" i="24"/>
  <c r="N39" i="24"/>
  <c r="P32" i="22"/>
  <c r="O39" i="24"/>
  <c r="D37" i="6"/>
  <c r="I37" i="6"/>
  <c r="E37" i="6"/>
  <c r="D39" i="24"/>
  <c r="H39" i="24"/>
  <c r="H37" i="6"/>
  <c r="G37" i="6"/>
  <c r="J39" i="24"/>
  <c r="Q32" i="22"/>
  <c r="I39" i="24"/>
  <c r="F37" i="6"/>
  <c r="P39" i="24"/>
  <c r="C39" i="24"/>
  <c r="T67" i="24"/>
  <c r="N65" i="6"/>
  <c r="V72" i="24"/>
  <c r="P70" i="6"/>
  <c r="N65" i="22"/>
  <c r="S70" i="6"/>
  <c r="V45" i="24"/>
  <c r="P43" i="6"/>
  <c r="N14" i="22"/>
  <c r="S19" i="6"/>
  <c r="F64" i="6"/>
  <c r="J64" i="6"/>
  <c r="I64" i="6"/>
  <c r="H64" i="6"/>
  <c r="D64" i="6"/>
  <c r="H66" i="24"/>
  <c r="N66" i="24"/>
  <c r="Q59" i="22"/>
  <c r="G66" i="24"/>
  <c r="J66" i="24"/>
  <c r="P59" i="22"/>
  <c r="O59" i="22"/>
  <c r="O66" i="24"/>
  <c r="C66" i="24"/>
  <c r="G64" i="6"/>
  <c r="E66" i="24"/>
  <c r="P66" i="24"/>
  <c r="D66" i="24"/>
  <c r="E64" i="6"/>
  <c r="I66" i="24"/>
  <c r="V66" i="24"/>
  <c r="P64" i="6"/>
  <c r="T107" i="24"/>
  <c r="N105" i="6"/>
  <c r="N100" i="22"/>
  <c r="S105" i="6"/>
  <c r="V85" i="24"/>
  <c r="P83" i="6"/>
  <c r="P67" i="6"/>
  <c r="V69" i="24"/>
  <c r="N61" i="22"/>
  <c r="S66" i="6"/>
  <c r="U19" i="24"/>
  <c r="O17" i="6"/>
  <c r="T52" i="24"/>
  <c r="N50" i="6"/>
  <c r="P46" i="6"/>
  <c r="V48" i="24"/>
  <c r="V29" i="24"/>
  <c r="P27" i="6"/>
  <c r="S97" i="6"/>
  <c r="N92" i="22"/>
  <c r="J55" i="6"/>
  <c r="I55" i="6"/>
  <c r="H55" i="6"/>
  <c r="I57" i="24"/>
  <c r="G55" i="6"/>
  <c r="O50" i="22"/>
  <c r="D55" i="6"/>
  <c r="C57" i="24"/>
  <c r="E57" i="24"/>
  <c r="H57" i="24"/>
  <c r="P50" i="22"/>
  <c r="E55" i="6"/>
  <c r="Q50" i="22"/>
  <c r="G57" i="24"/>
  <c r="F55" i="6"/>
  <c r="P57" i="24"/>
  <c r="N57" i="24"/>
  <c r="D57" i="24"/>
  <c r="O57" i="24"/>
  <c r="J57" i="24"/>
  <c r="V105" i="24"/>
  <c r="P103" i="6"/>
  <c r="U59" i="24"/>
  <c r="O57" i="6"/>
  <c r="V76" i="24"/>
  <c r="P74" i="6"/>
  <c r="H54" i="6"/>
  <c r="I54" i="6"/>
  <c r="P56" i="24"/>
  <c r="D56" i="24"/>
  <c r="G54" i="6"/>
  <c r="H56" i="24"/>
  <c r="J56" i="24"/>
  <c r="C56" i="24"/>
  <c r="J54" i="6"/>
  <c r="F54" i="6"/>
  <c r="E54" i="6"/>
  <c r="I56" i="24"/>
  <c r="P49" i="22"/>
  <c r="G56" i="24"/>
  <c r="D54" i="6"/>
  <c r="E56" i="24"/>
  <c r="O56" i="24"/>
  <c r="Q49" i="22"/>
  <c r="N56" i="24"/>
  <c r="O49" i="22"/>
  <c r="U22" i="24"/>
  <c r="O20" i="6"/>
  <c r="V62" i="24"/>
  <c r="P60" i="6"/>
  <c r="J101" i="6"/>
  <c r="O103" i="24"/>
  <c r="I101" i="6"/>
  <c r="F101" i="6"/>
  <c r="G103" i="24"/>
  <c r="H101" i="6"/>
  <c r="E101" i="6"/>
  <c r="Q96" i="22"/>
  <c r="D103" i="24"/>
  <c r="O96" i="22"/>
  <c r="P103" i="24"/>
  <c r="P96" i="22"/>
  <c r="E103" i="24"/>
  <c r="H103" i="24"/>
  <c r="G101" i="6"/>
  <c r="I103" i="24"/>
  <c r="J103" i="24"/>
  <c r="C103" i="24"/>
  <c r="N103" i="24"/>
  <c r="D101" i="6"/>
  <c r="N106" i="6"/>
  <c r="T108" i="24"/>
  <c r="N72" i="22"/>
  <c r="S77" i="6"/>
  <c r="H108" i="6"/>
  <c r="I108" i="6"/>
  <c r="I110" i="24"/>
  <c r="D110" i="24"/>
  <c r="O103" i="22"/>
  <c r="J108" i="6"/>
  <c r="G110" i="24"/>
  <c r="P110" i="24"/>
  <c r="C110" i="24"/>
  <c r="P103" i="22"/>
  <c r="E110" i="24"/>
  <c r="O110" i="24"/>
  <c r="N110" i="24"/>
  <c r="F108" i="6"/>
  <c r="G108" i="6"/>
  <c r="J110" i="24"/>
  <c r="H110" i="24"/>
  <c r="E108" i="6"/>
  <c r="D108" i="6"/>
  <c r="Q103" i="22"/>
  <c r="U63" i="24"/>
  <c r="O61" i="6"/>
  <c r="I93" i="6"/>
  <c r="H93" i="6"/>
  <c r="C95" i="24"/>
  <c r="Q88" i="22"/>
  <c r="E95" i="24"/>
  <c r="E93" i="6"/>
  <c r="O95" i="24"/>
  <c r="O88" i="22"/>
  <c r="F93" i="6"/>
  <c r="J95" i="24"/>
  <c r="J93" i="6"/>
  <c r="D95" i="24"/>
  <c r="P95" i="24"/>
  <c r="N95" i="24"/>
  <c r="D93" i="6"/>
  <c r="P88" i="22"/>
  <c r="I95" i="24"/>
  <c r="G93" i="6"/>
  <c r="H95" i="24"/>
  <c r="G95" i="24"/>
  <c r="I28" i="6"/>
  <c r="J28" i="6"/>
  <c r="O23" i="22"/>
  <c r="J30" i="24"/>
  <c r="G28" i="6"/>
  <c r="F28" i="6"/>
  <c r="O30" i="24"/>
  <c r="E30" i="24"/>
  <c r="H28" i="6"/>
  <c r="Q23" i="22"/>
  <c r="D28" i="6"/>
  <c r="C30" i="24"/>
  <c r="I30" i="24"/>
  <c r="G30" i="24"/>
  <c r="H30" i="24"/>
  <c r="E28" i="6"/>
  <c r="N30" i="24"/>
  <c r="P30" i="24"/>
  <c r="D30" i="24"/>
  <c r="P23" i="22"/>
  <c r="P23" i="6"/>
  <c r="V25" i="24"/>
  <c r="T87" i="24"/>
  <c r="N85" i="6"/>
  <c r="J24" i="6"/>
  <c r="H24" i="6"/>
  <c r="F24" i="6"/>
  <c r="D26" i="24"/>
  <c r="E24" i="6"/>
  <c r="P26" i="24"/>
  <c r="I24" i="6"/>
  <c r="E26" i="24"/>
  <c r="I26" i="24"/>
  <c r="C26" i="24"/>
  <c r="N26" i="24"/>
  <c r="O26" i="24"/>
  <c r="O19" i="22"/>
  <c r="P19" i="22"/>
  <c r="J26" i="24"/>
  <c r="Q19" i="22"/>
  <c r="D24" i="6"/>
  <c r="G24" i="6"/>
  <c r="G26" i="24"/>
  <c r="H26" i="24"/>
  <c r="T97" i="24"/>
  <c r="N95" i="6"/>
  <c r="O35" i="6"/>
  <c r="U37" i="24"/>
  <c r="H80" i="6"/>
  <c r="I80" i="6"/>
  <c r="J82" i="24"/>
  <c r="O82" i="24"/>
  <c r="J80" i="6"/>
  <c r="I82" i="24"/>
  <c r="C82" i="24"/>
  <c r="Q75" i="22"/>
  <c r="D82" i="24"/>
  <c r="E82" i="24"/>
  <c r="F80" i="6"/>
  <c r="G82" i="24"/>
  <c r="D80" i="6"/>
  <c r="P82" i="24"/>
  <c r="E80" i="6"/>
  <c r="H82" i="24"/>
  <c r="O75" i="22"/>
  <c r="N82" i="24"/>
  <c r="P75" i="22"/>
  <c r="G80" i="6"/>
  <c r="H42" i="6"/>
  <c r="H44" i="24"/>
  <c r="I42" i="6"/>
  <c r="P37" i="22"/>
  <c r="G42" i="6"/>
  <c r="J44" i="24"/>
  <c r="P44" i="24"/>
  <c r="E44" i="24"/>
  <c r="O44" i="24"/>
  <c r="O37" i="22"/>
  <c r="E42" i="6"/>
  <c r="F42" i="6"/>
  <c r="D44" i="24"/>
  <c r="G44" i="24"/>
  <c r="I44" i="24"/>
  <c r="J42" i="6"/>
  <c r="N44" i="24"/>
  <c r="D42" i="6"/>
  <c r="Q37" i="22"/>
  <c r="C44" i="24"/>
  <c r="V38" i="24"/>
  <c r="P36" i="6"/>
  <c r="T15" i="24"/>
  <c r="N13" i="6"/>
  <c r="G33" i="6"/>
  <c r="I33" i="6"/>
  <c r="J33" i="6"/>
  <c r="H33" i="6"/>
  <c r="H35" i="24"/>
  <c r="E33" i="6"/>
  <c r="I35" i="24"/>
  <c r="D35" i="24"/>
  <c r="Q28" i="22"/>
  <c r="J35" i="24"/>
  <c r="D33" i="6"/>
  <c r="G35" i="24"/>
  <c r="E35" i="24"/>
  <c r="N35" i="24"/>
  <c r="F33" i="6"/>
  <c r="P35" i="24"/>
  <c r="O35" i="24"/>
  <c r="C35" i="24"/>
  <c r="O28" i="22"/>
  <c r="P28" i="22"/>
  <c r="N86" i="6"/>
  <c r="T88" i="24"/>
  <c r="I86" i="6"/>
  <c r="J86" i="6"/>
  <c r="H86" i="6"/>
  <c r="N88" i="24"/>
  <c r="F86" i="6"/>
  <c r="E88" i="24"/>
  <c r="P81" i="22"/>
  <c r="H88" i="24"/>
  <c r="J88" i="24"/>
  <c r="O81" i="22"/>
  <c r="O88" i="24"/>
  <c r="P88" i="24"/>
  <c r="G86" i="6"/>
  <c r="C88" i="24"/>
  <c r="D86" i="6"/>
  <c r="D88" i="24"/>
  <c r="Q81" i="22"/>
  <c r="I88" i="24"/>
  <c r="G88" i="24"/>
  <c r="E86" i="6"/>
  <c r="O76" i="6"/>
  <c r="U78" i="24"/>
  <c r="H76" i="6"/>
  <c r="I76" i="6"/>
  <c r="J76" i="6"/>
  <c r="C78" i="24"/>
  <c r="D76" i="6"/>
  <c r="E76" i="6"/>
  <c r="P78" i="24"/>
  <c r="G78" i="24"/>
  <c r="F76" i="6"/>
  <c r="O78" i="24"/>
  <c r="N78" i="24"/>
  <c r="J78" i="24"/>
  <c r="O71" i="22"/>
  <c r="Q71" i="22"/>
  <c r="I78" i="24"/>
  <c r="G76" i="6"/>
  <c r="D78" i="24"/>
  <c r="E78" i="24"/>
  <c r="H78" i="24"/>
  <c r="P71" i="22"/>
  <c r="I47" i="6"/>
  <c r="J47" i="6"/>
  <c r="N49" i="24"/>
  <c r="E47" i="6"/>
  <c r="F47" i="6"/>
  <c r="H47" i="6"/>
  <c r="I49" i="24"/>
  <c r="D49" i="24"/>
  <c r="E49" i="24"/>
  <c r="G47" i="6"/>
  <c r="G49" i="24"/>
  <c r="H49" i="24"/>
  <c r="P42" i="22"/>
  <c r="Q42" i="22"/>
  <c r="C49" i="24"/>
  <c r="O42" i="22"/>
  <c r="J49" i="24"/>
  <c r="O49" i="24"/>
  <c r="P49" i="24"/>
  <c r="D47" i="6"/>
  <c r="N47" i="6"/>
  <c r="T49" i="24"/>
  <c r="H82" i="6"/>
  <c r="I84" i="24"/>
  <c r="J82" i="6"/>
  <c r="I82" i="6"/>
  <c r="H84" i="24"/>
  <c r="N84" i="24"/>
  <c r="D82" i="6"/>
  <c r="O84" i="24"/>
  <c r="F82" i="6"/>
  <c r="C84" i="24"/>
  <c r="E82" i="6"/>
  <c r="G82" i="6"/>
  <c r="D84" i="24"/>
  <c r="J84" i="24"/>
  <c r="P84" i="24"/>
  <c r="E84" i="24"/>
  <c r="Q77" i="22"/>
  <c r="G84" i="24"/>
  <c r="O77" i="22"/>
  <c r="P77" i="22"/>
  <c r="U77" i="24"/>
  <c r="O75" i="6"/>
  <c r="T53" i="24"/>
  <c r="N51" i="6"/>
  <c r="S51" i="6"/>
  <c r="N46" i="22"/>
  <c r="O26" i="6"/>
  <c r="U28" i="24"/>
  <c r="N56" i="6"/>
  <c r="T58" i="24"/>
  <c r="N51" i="22"/>
  <c r="S56" i="6"/>
  <c r="O71" i="6"/>
  <c r="U73" i="24"/>
  <c r="N32" i="6"/>
  <c r="T34" i="24"/>
  <c r="O49" i="6"/>
  <c r="U51" i="24"/>
  <c r="O98" i="6"/>
  <c r="U100" i="24"/>
  <c r="V81" i="24"/>
  <c r="P79" i="6"/>
  <c r="O16" i="6"/>
  <c r="U18" i="24"/>
  <c r="I16" i="6"/>
  <c r="J16" i="6"/>
  <c r="H16" i="6"/>
  <c r="G18" i="24"/>
  <c r="Q11" i="22"/>
  <c r="J18" i="24"/>
  <c r="E18" i="24"/>
  <c r="N18" i="24"/>
  <c r="E16" i="6"/>
  <c r="G16" i="6"/>
  <c r="P11" i="22"/>
  <c r="O11" i="22"/>
  <c r="O18" i="24"/>
  <c r="F16" i="6"/>
  <c r="I18" i="24"/>
  <c r="D16" i="6"/>
  <c r="H18" i="24"/>
  <c r="P18" i="24"/>
  <c r="D18" i="24"/>
  <c r="C18" i="24"/>
  <c r="J65" i="6"/>
  <c r="H67" i="24"/>
  <c r="D67" i="24"/>
  <c r="D65" i="6"/>
  <c r="O67" i="24"/>
  <c r="P67" i="24"/>
  <c r="I67" i="24"/>
  <c r="H65" i="6"/>
  <c r="C67" i="24"/>
  <c r="F65" i="6"/>
  <c r="Q60" i="22"/>
  <c r="E65" i="6"/>
  <c r="O60" i="22"/>
  <c r="P60" i="22"/>
  <c r="G65" i="6"/>
  <c r="E67" i="24"/>
  <c r="I65" i="6"/>
  <c r="N67" i="24"/>
  <c r="G67" i="24"/>
  <c r="J67" i="24"/>
  <c r="I10" i="6"/>
  <c r="H10" i="6"/>
  <c r="J10" i="6"/>
  <c r="O5" i="22"/>
  <c r="R5" i="22"/>
  <c r="D12" i="24"/>
  <c r="E12" i="24"/>
  <c r="C12" i="24"/>
  <c r="G12" i="24"/>
  <c r="J12" i="24"/>
  <c r="H70" i="6"/>
  <c r="J72" i="24"/>
  <c r="I70" i="6"/>
  <c r="E70" i="6"/>
  <c r="D72" i="24"/>
  <c r="N72" i="24"/>
  <c r="F70" i="6"/>
  <c r="C72" i="24"/>
  <c r="P65" i="22"/>
  <c r="Q65" i="22"/>
  <c r="O65" i="22"/>
  <c r="J70" i="6"/>
  <c r="E72" i="24"/>
  <c r="G70" i="6"/>
  <c r="H72" i="24"/>
  <c r="O72" i="24"/>
  <c r="G72" i="24"/>
  <c r="I72" i="24"/>
  <c r="D70" i="6"/>
  <c r="P72" i="24"/>
  <c r="N70" i="6"/>
  <c r="T72" i="24"/>
  <c r="T21" i="24"/>
  <c r="N19" i="6"/>
  <c r="P19" i="6"/>
  <c r="V21" i="24"/>
  <c r="I83" i="6"/>
  <c r="J83" i="6"/>
  <c r="H83" i="6"/>
  <c r="E83" i="6"/>
  <c r="O85" i="24"/>
  <c r="D85" i="24"/>
  <c r="Q78" i="22"/>
  <c r="G83" i="6"/>
  <c r="G85" i="24"/>
  <c r="D83" i="6"/>
  <c r="F83" i="6"/>
  <c r="H85" i="24"/>
  <c r="N85" i="24"/>
  <c r="C85" i="24"/>
  <c r="I85" i="24"/>
  <c r="E85" i="24"/>
  <c r="P78" i="22"/>
  <c r="J85" i="24"/>
  <c r="O78" i="22"/>
  <c r="P85" i="24"/>
  <c r="N78" i="6"/>
  <c r="T80" i="24"/>
  <c r="P78" i="6"/>
  <c r="V80" i="24"/>
  <c r="I81" i="6"/>
  <c r="H81" i="6"/>
  <c r="J81" i="6"/>
  <c r="G81" i="6"/>
  <c r="J83" i="24"/>
  <c r="H83" i="24"/>
  <c r="P76" i="22"/>
  <c r="D83" i="24"/>
  <c r="E81" i="6"/>
  <c r="I83" i="24"/>
  <c r="P83" i="24"/>
  <c r="O76" i="22"/>
  <c r="N83" i="24"/>
  <c r="F81" i="6"/>
  <c r="E83" i="24"/>
  <c r="C83" i="24"/>
  <c r="G83" i="24"/>
  <c r="D81" i="6"/>
  <c r="O83" i="24"/>
  <c r="Q76" i="22"/>
  <c r="T20" i="24"/>
  <c r="N18" i="6"/>
  <c r="G38" i="6"/>
  <c r="J38" i="6"/>
  <c r="C40" i="24"/>
  <c r="I40" i="24"/>
  <c r="D38" i="6"/>
  <c r="P33" i="22"/>
  <c r="N40" i="24"/>
  <c r="P40" i="24"/>
  <c r="O33" i="22"/>
  <c r="I38" i="6"/>
  <c r="E40" i="24"/>
  <c r="E38" i="6"/>
  <c r="J40" i="24"/>
  <c r="F38" i="6"/>
  <c r="O40" i="24"/>
  <c r="H40" i="24"/>
  <c r="H38" i="6"/>
  <c r="Q33" i="22"/>
  <c r="G40" i="24"/>
  <c r="D40" i="24"/>
  <c r="V59" i="24"/>
  <c r="P57" i="6"/>
  <c r="T19" i="24"/>
  <c r="N17" i="6"/>
  <c r="O92" i="6"/>
  <c r="U94" i="24"/>
  <c r="O50" i="6"/>
  <c r="U52" i="24"/>
  <c r="O99" i="6"/>
  <c r="U101" i="24"/>
  <c r="J20" i="6"/>
  <c r="I20" i="6"/>
  <c r="I22" i="24"/>
  <c r="O22" i="24"/>
  <c r="H22" i="24"/>
  <c r="D20" i="6"/>
  <c r="Q15" i="22"/>
  <c r="G20" i="6"/>
  <c r="G22" i="24"/>
  <c r="D22" i="24"/>
  <c r="P22" i="24"/>
  <c r="C22" i="24"/>
  <c r="P15" i="22"/>
  <c r="E20" i="6"/>
  <c r="J22" i="24"/>
  <c r="E22" i="24"/>
  <c r="H20" i="6"/>
  <c r="F20" i="6"/>
  <c r="N22" i="24"/>
  <c r="O15" i="22"/>
  <c r="V54" i="24"/>
  <c r="P52" i="6"/>
  <c r="H29" i="6"/>
  <c r="J29" i="6"/>
  <c r="Q24" i="22"/>
  <c r="I31" i="24"/>
  <c r="D31" i="24"/>
  <c r="H31" i="24"/>
  <c r="J31" i="24"/>
  <c r="P24" i="22"/>
  <c r="D29" i="6"/>
  <c r="P31" i="24"/>
  <c r="G31" i="24"/>
  <c r="G29" i="6"/>
  <c r="E31" i="24"/>
  <c r="C31" i="24"/>
  <c r="O31" i="24"/>
  <c r="O24" i="22"/>
  <c r="I29" i="6"/>
  <c r="E29" i="6"/>
  <c r="N31" i="24"/>
  <c r="F29" i="6"/>
  <c r="N21" i="6"/>
  <c r="T23" i="24"/>
  <c r="N77" i="6"/>
  <c r="T79" i="24"/>
  <c r="T24" i="24"/>
  <c r="N22" i="6"/>
  <c r="T27" i="24"/>
  <c r="N25" i="6"/>
  <c r="T110" i="24"/>
  <c r="N108" i="6"/>
  <c r="O44" i="6"/>
  <c r="U46" i="24"/>
  <c r="J103" i="6"/>
  <c r="I103" i="6"/>
  <c r="H103" i="6"/>
  <c r="P105" i="24"/>
  <c r="Q98" i="22"/>
  <c r="G105" i="24"/>
  <c r="F103" i="6"/>
  <c r="P98" i="22"/>
  <c r="N105" i="24"/>
  <c r="J105" i="24"/>
  <c r="G103" i="6"/>
  <c r="I105" i="24"/>
  <c r="C105" i="24"/>
  <c r="H105" i="24"/>
  <c r="O98" i="22"/>
  <c r="O105" i="24"/>
  <c r="D105" i="24"/>
  <c r="E105" i="24"/>
  <c r="E103" i="6"/>
  <c r="D103" i="6"/>
  <c r="U69" i="24"/>
  <c r="O67" i="6"/>
  <c r="U93" i="24"/>
  <c r="O91" i="6"/>
  <c r="U80" i="24"/>
  <c r="O78" i="6"/>
  <c r="D102" i="24"/>
  <c r="J100" i="6"/>
  <c r="I100" i="6"/>
  <c r="F100" i="6"/>
  <c r="Q95" i="22"/>
  <c r="D100" i="6"/>
  <c r="H100" i="6"/>
  <c r="P95" i="22"/>
  <c r="E102" i="24"/>
  <c r="H102" i="24"/>
  <c r="E100" i="6"/>
  <c r="G100" i="6"/>
  <c r="C102" i="24"/>
  <c r="O95" i="22"/>
  <c r="G102" i="24"/>
  <c r="I102" i="24"/>
  <c r="O102" i="24"/>
  <c r="N102" i="24"/>
  <c r="P102" i="24"/>
  <c r="J102" i="24"/>
  <c r="U83" i="24"/>
  <c r="O81" i="6"/>
  <c r="O66" i="6"/>
  <c r="U68" i="24"/>
  <c r="T40" i="24"/>
  <c r="N38" i="6"/>
  <c r="I50" i="6"/>
  <c r="J50" i="6"/>
  <c r="Q45" i="22"/>
  <c r="H50" i="6"/>
  <c r="J52" i="24"/>
  <c r="G50" i="6"/>
  <c r="D52" i="24"/>
  <c r="D50" i="6"/>
  <c r="E50" i="6"/>
  <c r="H52" i="24"/>
  <c r="F50" i="6"/>
  <c r="E52" i="24"/>
  <c r="P52" i="24"/>
  <c r="N52" i="24"/>
  <c r="P45" i="22"/>
  <c r="O45" i="22"/>
  <c r="I52" i="24"/>
  <c r="C52" i="24"/>
  <c r="G52" i="24"/>
  <c r="O52" i="24"/>
  <c r="U76" i="24"/>
  <c r="O74" i="6"/>
  <c r="N45" i="6"/>
  <c r="T47" i="24"/>
  <c r="N99" i="6"/>
  <c r="T101" i="24"/>
  <c r="H99" i="6"/>
  <c r="G101" i="24"/>
  <c r="J99" i="6"/>
  <c r="P101" i="24"/>
  <c r="F99" i="6"/>
  <c r="H101" i="24"/>
  <c r="E99" i="6"/>
  <c r="D101" i="24"/>
  <c r="O94" i="22"/>
  <c r="P94" i="22"/>
  <c r="J101" i="24"/>
  <c r="Q94" i="22"/>
  <c r="E101" i="24"/>
  <c r="I99" i="6"/>
  <c r="G99" i="6"/>
  <c r="C101" i="24"/>
  <c r="O101" i="24"/>
  <c r="N101" i="24"/>
  <c r="D99" i="6"/>
  <c r="I101" i="24"/>
  <c r="O31" i="6"/>
  <c r="U33" i="24"/>
  <c r="T54" i="24"/>
  <c r="N52" i="6"/>
  <c r="P88" i="6"/>
  <c r="V90" i="24"/>
  <c r="N29" i="6"/>
  <c r="T31" i="24"/>
  <c r="V41" i="24"/>
  <c r="P39" i="6"/>
  <c r="N39" i="6"/>
  <c r="T41" i="24"/>
  <c r="N101" i="6"/>
  <c r="T103" i="24"/>
  <c r="H27" i="6"/>
  <c r="E29" i="24"/>
  <c r="I27" i="6"/>
  <c r="J27" i="6"/>
  <c r="D27" i="6"/>
  <c r="I29" i="24"/>
  <c r="G27" i="6"/>
  <c r="J29" i="24"/>
  <c r="O29" i="24"/>
  <c r="D29" i="24"/>
  <c r="Q22" i="22"/>
  <c r="E27" i="6"/>
  <c r="H29" i="24"/>
  <c r="F27" i="6"/>
  <c r="P22" i="22"/>
  <c r="O22" i="22"/>
  <c r="G29" i="24"/>
  <c r="N29" i="24"/>
  <c r="P29" i="24"/>
  <c r="C29" i="24"/>
  <c r="I84" i="6"/>
  <c r="H84" i="6"/>
  <c r="J84" i="6"/>
  <c r="P86" i="24"/>
  <c r="O86" i="24"/>
  <c r="E86" i="24"/>
  <c r="J86" i="24"/>
  <c r="E84" i="6"/>
  <c r="F84" i="6"/>
  <c r="C86" i="24"/>
  <c r="G84" i="6"/>
  <c r="I86" i="24"/>
  <c r="D86" i="24"/>
  <c r="D84" i="6"/>
  <c r="O79" i="22"/>
  <c r="G86" i="24"/>
  <c r="Q79" i="22"/>
  <c r="N86" i="24"/>
  <c r="P79" i="22"/>
  <c r="H86" i="24"/>
  <c r="V60" i="24"/>
  <c r="P58" i="6"/>
  <c r="G58" i="6"/>
  <c r="H58" i="6"/>
  <c r="J58" i="6"/>
  <c r="G60" i="24"/>
  <c r="I58" i="6"/>
  <c r="O60" i="24"/>
  <c r="F58" i="6"/>
  <c r="D60" i="24"/>
  <c r="N60" i="24"/>
  <c r="I60" i="24"/>
  <c r="E60" i="24"/>
  <c r="O53" i="22"/>
  <c r="C60" i="24"/>
  <c r="P53" i="22"/>
  <c r="E58" i="6"/>
  <c r="H60" i="24"/>
  <c r="Q53" i="22"/>
  <c r="J60" i="24"/>
  <c r="D58" i="6"/>
  <c r="P60" i="24"/>
  <c r="T60" i="24"/>
  <c r="N58" i="6"/>
  <c r="T99" i="24"/>
  <c r="N97" i="6"/>
  <c r="V99" i="24"/>
  <c r="P97" i="6"/>
  <c r="T75" i="24"/>
  <c r="N73" i="6"/>
  <c r="V24" i="24"/>
  <c r="P22" i="6"/>
  <c r="N107" i="6"/>
  <c r="T109" i="24"/>
  <c r="V109" i="24"/>
  <c r="P107" i="6"/>
  <c r="S107" i="6"/>
  <c r="N102" i="22"/>
  <c r="N94" i="6"/>
  <c r="T96" i="24"/>
  <c r="V96" i="24"/>
  <c r="P94" i="6"/>
  <c r="P53" i="6"/>
  <c r="V55" i="24"/>
  <c r="N53" i="6"/>
  <c r="T55" i="24"/>
  <c r="V110" i="24"/>
  <c r="P108" i="6"/>
  <c r="N72" i="6"/>
  <c r="T74" i="24"/>
  <c r="T46" i="24"/>
  <c r="N44" i="6"/>
  <c r="N55" i="6"/>
  <c r="T57" i="24"/>
  <c r="J102" i="6"/>
  <c r="I102" i="6"/>
  <c r="C104" i="24"/>
  <c r="G104" i="24"/>
  <c r="H102" i="6"/>
  <c r="D104" i="24"/>
  <c r="J104" i="24"/>
  <c r="P104" i="24"/>
  <c r="P97" i="22"/>
  <c r="Q97" i="22"/>
  <c r="I104" i="24"/>
  <c r="O97" i="22"/>
  <c r="G102" i="6"/>
  <c r="E104" i="24"/>
  <c r="O104" i="24"/>
  <c r="N104" i="24"/>
  <c r="D102" i="6"/>
  <c r="F102" i="6"/>
  <c r="E102" i="6"/>
  <c r="H104" i="24"/>
  <c r="H62" i="6"/>
  <c r="P64" i="24"/>
  <c r="J62" i="6"/>
  <c r="I62" i="6"/>
  <c r="F62" i="6"/>
  <c r="N64" i="24"/>
  <c r="H64" i="24"/>
  <c r="O57" i="22"/>
  <c r="E62" i="6"/>
  <c r="J64" i="24"/>
  <c r="G64" i="24"/>
  <c r="E64" i="24"/>
  <c r="O64" i="24"/>
  <c r="G62" i="6"/>
  <c r="C64" i="24"/>
  <c r="D62" i="6"/>
  <c r="D64" i="24"/>
  <c r="P57" i="22"/>
  <c r="Q57" i="22"/>
  <c r="I64" i="24"/>
  <c r="N34" i="6"/>
  <c r="T36" i="24"/>
  <c r="O93" i="6"/>
  <c r="U95" i="24"/>
  <c r="P93" i="6"/>
  <c r="V95" i="24"/>
  <c r="T16" i="24"/>
  <c r="N14" i="6"/>
  <c r="U16" i="24"/>
  <c r="O14" i="6"/>
  <c r="O69" i="6"/>
  <c r="U71" i="24"/>
  <c r="J85" i="6"/>
  <c r="I85" i="6"/>
  <c r="I87" i="24"/>
  <c r="Q80" i="22"/>
  <c r="H85" i="6"/>
  <c r="D85" i="6"/>
  <c r="E87" i="24"/>
  <c r="J87" i="24"/>
  <c r="O87" i="24"/>
  <c r="P87" i="24"/>
  <c r="G85" i="6"/>
  <c r="P80" i="22"/>
  <c r="E85" i="6"/>
  <c r="F85" i="6"/>
  <c r="C87" i="24"/>
  <c r="D87" i="24"/>
  <c r="H87" i="24"/>
  <c r="G87" i="24"/>
  <c r="O80" i="22"/>
  <c r="N87" i="24"/>
  <c r="J8" i="6"/>
  <c r="J10" i="24"/>
  <c r="I8" i="6"/>
  <c r="H8" i="6"/>
  <c r="E10" i="24"/>
  <c r="C10" i="24"/>
  <c r="D8" i="6"/>
  <c r="O3" i="22"/>
  <c r="R3" i="22"/>
  <c r="D10" i="24"/>
  <c r="U91" i="24"/>
  <c r="O89" i="6"/>
  <c r="S103" i="6"/>
  <c r="N98" i="22"/>
  <c r="I11" i="6"/>
  <c r="J11" i="6"/>
  <c r="H11" i="6"/>
  <c r="D13" i="24"/>
  <c r="O6" i="22"/>
  <c r="R6" i="22"/>
  <c r="E13" i="24"/>
  <c r="C13" i="24"/>
  <c r="G13" i="24"/>
  <c r="H13" i="24"/>
  <c r="J13" i="24"/>
  <c r="N6" i="22"/>
  <c r="S11" i="6"/>
  <c r="N86" i="22"/>
  <c r="S91" i="6"/>
  <c r="H78" i="6"/>
  <c r="J80" i="24"/>
  <c r="J78" i="6"/>
  <c r="E78" i="6"/>
  <c r="P80" i="24"/>
  <c r="D78" i="6"/>
  <c r="E80" i="24"/>
  <c r="I78" i="6"/>
  <c r="N80" i="24"/>
  <c r="H80" i="24"/>
  <c r="G78" i="6"/>
  <c r="G80" i="24"/>
  <c r="I80" i="24"/>
  <c r="Q73" i="22"/>
  <c r="F78" i="6"/>
  <c r="C80" i="24"/>
  <c r="D80" i="24"/>
  <c r="O73" i="22"/>
  <c r="P73" i="22"/>
  <c r="O80" i="24"/>
  <c r="N73" i="22"/>
  <c r="S78" i="6"/>
  <c r="V102" i="24"/>
  <c r="P100" i="6"/>
  <c r="O100" i="6"/>
  <c r="U102" i="24"/>
  <c r="S81" i="6"/>
  <c r="N76" i="22"/>
  <c r="N66" i="6"/>
  <c r="T68" i="24"/>
  <c r="I66" i="6"/>
  <c r="J66" i="6"/>
  <c r="H66" i="6"/>
  <c r="E66" i="6"/>
  <c r="C68" i="24"/>
  <c r="O61" i="22"/>
  <c r="G66" i="6"/>
  <c r="H68" i="24"/>
  <c r="P68" i="24"/>
  <c r="D66" i="6"/>
  <c r="N68" i="24"/>
  <c r="O68" i="24"/>
  <c r="Q61" i="22"/>
  <c r="P61" i="22"/>
  <c r="G68" i="24"/>
  <c r="E68" i="24"/>
  <c r="J68" i="24"/>
  <c r="D68" i="24"/>
  <c r="F66" i="6"/>
  <c r="I68" i="24"/>
  <c r="I20" i="24"/>
  <c r="J18" i="6"/>
  <c r="H20" i="24"/>
  <c r="D18" i="6"/>
  <c r="F18" i="6"/>
  <c r="J20" i="24"/>
  <c r="G20" i="24"/>
  <c r="E20" i="24"/>
  <c r="H18" i="6"/>
  <c r="C20" i="24"/>
  <c r="O13" i="22"/>
  <c r="Q13" i="22"/>
  <c r="P13" i="22"/>
  <c r="D20" i="24"/>
  <c r="P20" i="24"/>
  <c r="G18" i="6"/>
  <c r="O20" i="24"/>
  <c r="N20" i="24"/>
  <c r="I18" i="6"/>
  <c r="E18" i="6"/>
  <c r="V20" i="24"/>
  <c r="P18" i="6"/>
  <c r="N13" i="22"/>
  <c r="S18" i="6"/>
  <c r="V40" i="24"/>
  <c r="P38" i="6"/>
  <c r="I57" i="6"/>
  <c r="H57" i="6"/>
  <c r="O52" i="22"/>
  <c r="P59" i="24"/>
  <c r="Q52" i="22"/>
  <c r="E57" i="6"/>
  <c r="H59" i="24"/>
  <c r="G59" i="24"/>
  <c r="D57" i="6"/>
  <c r="D59" i="24"/>
  <c r="J57" i="6"/>
  <c r="E59" i="24"/>
  <c r="J59" i="24"/>
  <c r="P52" i="22"/>
  <c r="N59" i="24"/>
  <c r="I59" i="24"/>
  <c r="C59" i="24"/>
  <c r="G57" i="6"/>
  <c r="O59" i="24"/>
  <c r="F57" i="6"/>
  <c r="N52" i="22"/>
  <c r="S57" i="6"/>
  <c r="V19" i="24"/>
  <c r="P17" i="6"/>
  <c r="J17" i="6"/>
  <c r="H17" i="6"/>
  <c r="P19" i="24"/>
  <c r="C19" i="24"/>
  <c r="G17" i="6"/>
  <c r="F17" i="6"/>
  <c r="O19" i="24"/>
  <c r="I17" i="6"/>
  <c r="D19" i="24"/>
  <c r="N19" i="24"/>
  <c r="O12" i="22"/>
  <c r="Q12" i="22"/>
  <c r="H19" i="24"/>
  <c r="P12" i="22"/>
  <c r="J19" i="24"/>
  <c r="E19" i="24"/>
  <c r="G19" i="24"/>
  <c r="I19" i="24"/>
  <c r="E17" i="6"/>
  <c r="D17" i="6"/>
  <c r="P92" i="6"/>
  <c r="V94" i="24"/>
  <c r="N87" i="22"/>
  <c r="S92" i="6"/>
  <c r="N74" i="6"/>
  <c r="T76" i="24"/>
  <c r="N69" i="22"/>
  <c r="S74" i="6"/>
  <c r="N4" i="22"/>
  <c r="S9" i="6"/>
  <c r="P31" i="6"/>
  <c r="V33" i="24"/>
  <c r="N26" i="22"/>
  <c r="S31" i="6"/>
  <c r="U56" i="24"/>
  <c r="O54" i="6"/>
  <c r="P20" i="6"/>
  <c r="V22" i="24"/>
  <c r="N15" i="22"/>
  <c r="S20" i="6"/>
  <c r="P68" i="6"/>
  <c r="V70" i="24"/>
  <c r="I52" i="6"/>
  <c r="H52" i="6"/>
  <c r="J52" i="6"/>
  <c r="N54" i="24"/>
  <c r="E52" i="6"/>
  <c r="O54" i="24"/>
  <c r="P54" i="24"/>
  <c r="Q47" i="22"/>
  <c r="I54" i="24"/>
  <c r="G52" i="6"/>
  <c r="F52" i="6"/>
  <c r="D54" i="24"/>
  <c r="E54" i="24"/>
  <c r="O47" i="22"/>
  <c r="J54" i="24"/>
  <c r="H54" i="24"/>
  <c r="D52" i="6"/>
  <c r="C54" i="24"/>
  <c r="P47" i="22"/>
  <c r="G54" i="24"/>
  <c r="N47" i="22"/>
  <c r="S52" i="6"/>
  <c r="N46" i="6"/>
  <c r="T48" i="24"/>
  <c r="N88" i="6"/>
  <c r="T90" i="24"/>
  <c r="N83" i="22"/>
  <c r="S88" i="6"/>
  <c r="O60" i="6"/>
  <c r="U62" i="24"/>
  <c r="O29" i="6"/>
  <c r="U31" i="24"/>
  <c r="N24" i="22"/>
  <c r="S29" i="6"/>
  <c r="U41" i="24"/>
  <c r="O39" i="6"/>
  <c r="H41" i="24"/>
  <c r="H39" i="6"/>
  <c r="J39" i="6"/>
  <c r="I39" i="6"/>
  <c r="E41" i="24"/>
  <c r="C41" i="24"/>
  <c r="G39" i="6"/>
  <c r="O34" i="22"/>
  <c r="P41" i="24"/>
  <c r="E39" i="6"/>
  <c r="I41" i="24"/>
  <c r="D41" i="24"/>
  <c r="P34" i="22"/>
  <c r="N41" i="24"/>
  <c r="J41" i="24"/>
  <c r="O41" i="24"/>
  <c r="Q34" i="22"/>
  <c r="D39" i="6"/>
  <c r="F39" i="6"/>
  <c r="G41" i="24"/>
  <c r="N34" i="22"/>
  <c r="S39" i="6"/>
  <c r="P101" i="6"/>
  <c r="V103" i="24"/>
  <c r="U103" i="24"/>
  <c r="O101" i="6"/>
  <c r="N96" i="22"/>
  <c r="S101" i="6"/>
  <c r="N22" i="22"/>
  <c r="S27" i="6"/>
  <c r="N53" i="22"/>
  <c r="S58" i="6"/>
  <c r="O97" i="6"/>
  <c r="U99" i="24"/>
  <c r="H97" i="6"/>
  <c r="I97" i="6"/>
  <c r="H99" i="24"/>
  <c r="J97" i="6"/>
  <c r="P99" i="24"/>
  <c r="G97" i="6"/>
  <c r="C99" i="24"/>
  <c r="E99" i="24"/>
  <c r="D97" i="6"/>
  <c r="J99" i="24"/>
  <c r="D99" i="24"/>
  <c r="O99" i="24"/>
  <c r="O92" i="22"/>
  <c r="F97" i="6"/>
  <c r="G99" i="24"/>
  <c r="Q92" i="22"/>
  <c r="N99" i="24"/>
  <c r="I99" i="24"/>
  <c r="E97" i="6"/>
  <c r="P92" i="22"/>
  <c r="U23" i="24"/>
  <c r="O21" i="6"/>
  <c r="N16" i="22"/>
  <c r="S21" i="6"/>
  <c r="O77" i="6"/>
  <c r="U79" i="24"/>
  <c r="V79" i="24"/>
  <c r="P77" i="6"/>
  <c r="J22" i="6"/>
  <c r="H22" i="6"/>
  <c r="G22" i="6"/>
  <c r="J24" i="24"/>
  <c r="C24" i="24"/>
  <c r="P17" i="22"/>
  <c r="E22" i="6"/>
  <c r="E24" i="24"/>
  <c r="G24" i="24"/>
  <c r="P24" i="24"/>
  <c r="D22" i="6"/>
  <c r="I22" i="6"/>
  <c r="F22" i="6"/>
  <c r="D24" i="24"/>
  <c r="O17" i="22"/>
  <c r="H24" i="24"/>
  <c r="O24" i="24"/>
  <c r="Q17" i="22"/>
  <c r="N24" i="24"/>
  <c r="I24" i="24"/>
  <c r="O22" i="6"/>
  <c r="U24" i="24"/>
  <c r="P59" i="6"/>
  <c r="V61" i="24"/>
  <c r="O59" i="6"/>
  <c r="U61" i="24"/>
  <c r="N54" i="22"/>
  <c r="S59" i="6"/>
  <c r="O107" i="6"/>
  <c r="U109" i="24"/>
  <c r="U96" i="24"/>
  <c r="O94" i="6"/>
  <c r="O96" i="24"/>
  <c r="J94" i="6"/>
  <c r="I96" i="24"/>
  <c r="C96" i="24"/>
  <c r="I94" i="6"/>
  <c r="E94" i="6"/>
  <c r="O89" i="22"/>
  <c r="P89" i="22"/>
  <c r="E96" i="24"/>
  <c r="J96" i="24"/>
  <c r="D94" i="6"/>
  <c r="G96" i="24"/>
  <c r="H94" i="6"/>
  <c r="F94" i="6"/>
  <c r="N96" i="24"/>
  <c r="H96" i="24"/>
  <c r="G94" i="6"/>
  <c r="P96" i="24"/>
  <c r="Q89" i="22"/>
  <c r="D96" i="24"/>
  <c r="N48" i="22"/>
  <c r="S53" i="6"/>
  <c r="U110" i="24"/>
  <c r="O108" i="6"/>
  <c r="H74" i="24"/>
  <c r="J72" i="6"/>
  <c r="C74" i="24"/>
  <c r="H72" i="6"/>
  <c r="O67" i="22"/>
  <c r="J74" i="24"/>
  <c r="D72" i="6"/>
  <c r="I74" i="24"/>
  <c r="I72" i="6"/>
  <c r="O74" i="24"/>
  <c r="G74" i="24"/>
  <c r="D74" i="24"/>
  <c r="P67" i="22"/>
  <c r="P74" i="24"/>
  <c r="Q67" i="22"/>
  <c r="E72" i="6"/>
  <c r="F72" i="6"/>
  <c r="G72" i="6"/>
  <c r="N74" i="24"/>
  <c r="E74" i="24"/>
  <c r="S72" i="6"/>
  <c r="N67" i="22"/>
  <c r="P39" i="22"/>
  <c r="I44" i="6"/>
  <c r="H44" i="6"/>
  <c r="J44" i="6"/>
  <c r="O46" i="24"/>
  <c r="H46" i="24"/>
  <c r="D46" i="24"/>
  <c r="Q39" i="22"/>
  <c r="F44" i="6"/>
  <c r="C46" i="24"/>
  <c r="D44" i="6"/>
  <c r="I46" i="24"/>
  <c r="P46" i="24"/>
  <c r="G44" i="6"/>
  <c r="N46" i="24"/>
  <c r="G46" i="24"/>
  <c r="E44" i="6"/>
  <c r="E46" i="24"/>
  <c r="J46" i="24"/>
  <c r="O39" i="22"/>
  <c r="N82" i="22"/>
  <c r="S87" i="6"/>
  <c r="U57" i="24"/>
  <c r="O55" i="6"/>
  <c r="S102" i="6"/>
  <c r="N97" i="22"/>
  <c r="P62" i="6"/>
  <c r="V64" i="24"/>
  <c r="N56" i="22"/>
  <c r="S61" i="6"/>
  <c r="N63" i="6"/>
  <c r="T65" i="24"/>
  <c r="C65" i="24"/>
  <c r="H63" i="6"/>
  <c r="I63" i="6"/>
  <c r="J63" i="6"/>
  <c r="D63" i="6"/>
  <c r="J65" i="24"/>
  <c r="G63" i="6"/>
  <c r="I65" i="24"/>
  <c r="Q58" i="22"/>
  <c r="E65" i="24"/>
  <c r="O65" i="24"/>
  <c r="O58" i="22"/>
  <c r="N65" i="24"/>
  <c r="E63" i="6"/>
  <c r="P58" i="22"/>
  <c r="H65" i="24"/>
  <c r="F63" i="6"/>
  <c r="G65" i="24"/>
  <c r="P65" i="24"/>
  <c r="D65" i="24"/>
  <c r="N29" i="22"/>
  <c r="S34" i="6"/>
  <c r="P15" i="6"/>
  <c r="V17" i="24"/>
  <c r="J15" i="6"/>
  <c r="I15" i="6"/>
  <c r="G17" i="24"/>
  <c r="O10" i="22"/>
  <c r="D15" i="6"/>
  <c r="G15" i="6"/>
  <c r="C17" i="24"/>
  <c r="P17" i="24"/>
  <c r="P10" i="22"/>
  <c r="J17" i="24"/>
  <c r="D17" i="24"/>
  <c r="E15" i="6"/>
  <c r="N17" i="24"/>
  <c r="E17" i="24"/>
  <c r="F15" i="6"/>
  <c r="I17" i="24"/>
  <c r="Q10" i="22"/>
  <c r="H17" i="24"/>
  <c r="H15" i="6"/>
  <c r="O17" i="24"/>
  <c r="N88" i="22"/>
  <c r="S93" i="6"/>
  <c r="V30" i="24"/>
  <c r="P28" i="6"/>
  <c r="U30" i="24"/>
  <c r="O28" i="6"/>
  <c r="S14" i="6"/>
  <c r="N9" i="22"/>
  <c r="S69" i="6"/>
  <c r="N64" i="22"/>
  <c r="N3" i="22"/>
  <c r="S8" i="6"/>
  <c r="U98" i="24"/>
  <c r="O96" i="6"/>
  <c r="H96" i="6"/>
  <c r="D98" i="24"/>
  <c r="J96" i="6"/>
  <c r="N98" i="24"/>
  <c r="H98" i="24"/>
  <c r="D96" i="6"/>
  <c r="P98" i="24"/>
  <c r="O98" i="24"/>
  <c r="I98" i="24"/>
  <c r="I96" i="6"/>
  <c r="C98" i="24"/>
  <c r="E96" i="6"/>
  <c r="F96" i="6"/>
  <c r="G96" i="6"/>
  <c r="J98" i="24"/>
  <c r="O91" i="22"/>
  <c r="P91" i="22"/>
  <c r="Q91" i="22"/>
  <c r="G98" i="24"/>
  <c r="E98" i="24"/>
  <c r="P96" i="6"/>
  <c r="V98" i="24"/>
  <c r="V42" i="24"/>
  <c r="P40" i="6"/>
  <c r="H40" i="6"/>
  <c r="J40" i="6"/>
  <c r="I40" i="6"/>
  <c r="F40" i="6"/>
  <c r="H42" i="24"/>
  <c r="G40" i="6"/>
  <c r="O35" i="22"/>
  <c r="N42" i="24"/>
  <c r="E40" i="6"/>
  <c r="P35" i="22"/>
  <c r="P42" i="24"/>
  <c r="C42" i="24"/>
  <c r="D40" i="6"/>
  <c r="Q35" i="22"/>
  <c r="D42" i="24"/>
  <c r="O42" i="24"/>
  <c r="G42" i="24"/>
  <c r="J42" i="24"/>
  <c r="E42" i="24"/>
  <c r="I42" i="24"/>
  <c r="U42" i="24"/>
  <c r="O40" i="6"/>
  <c r="N35" i="22"/>
  <c r="S40" i="6"/>
  <c r="O24" i="6"/>
  <c r="U26" i="24"/>
  <c r="E91" i="24"/>
  <c r="J89" i="6"/>
  <c r="H89" i="6"/>
  <c r="I89" i="6"/>
  <c r="E89" i="6"/>
  <c r="F89" i="6"/>
  <c r="D91" i="24"/>
  <c r="I91" i="24"/>
  <c r="O91" i="24"/>
  <c r="H91" i="24"/>
  <c r="G89" i="6"/>
  <c r="C91" i="24"/>
  <c r="D89" i="6"/>
  <c r="G91" i="24"/>
  <c r="Q84" i="22"/>
  <c r="P84" i="22"/>
  <c r="N91" i="24"/>
  <c r="P91" i="24"/>
  <c r="O84" i="22"/>
  <c r="J91" i="24"/>
  <c r="N84" i="22"/>
  <c r="S89" i="6"/>
  <c r="U97" i="24"/>
  <c r="O95" i="6"/>
  <c r="H95" i="6"/>
  <c r="P90" i="22"/>
  <c r="Q90" i="22"/>
  <c r="D97" i="24"/>
  <c r="E97" i="24"/>
  <c r="E95" i="6"/>
  <c r="H97" i="24"/>
  <c r="I95" i="6"/>
  <c r="J95" i="6"/>
  <c r="D95" i="6"/>
  <c r="G95" i="6"/>
  <c r="N97" i="24"/>
  <c r="O97" i="24"/>
  <c r="O90" i="22"/>
  <c r="F95" i="6"/>
  <c r="J97" i="24"/>
  <c r="P97" i="24"/>
  <c r="I97" i="24"/>
  <c r="G97" i="24"/>
  <c r="C97" i="24"/>
  <c r="J35" i="6"/>
  <c r="I35" i="6"/>
  <c r="D37" i="24"/>
  <c r="J37" i="24"/>
  <c r="G35" i="6"/>
  <c r="C37" i="24"/>
  <c r="O37" i="24"/>
  <c r="Q30" i="22"/>
  <c r="F35" i="6"/>
  <c r="I37" i="24"/>
  <c r="H37" i="24"/>
  <c r="H35" i="6"/>
  <c r="O30" i="22"/>
  <c r="G37" i="24"/>
  <c r="P37" i="24"/>
  <c r="E37" i="24"/>
  <c r="E35" i="6"/>
  <c r="D35" i="6"/>
  <c r="N37" i="24"/>
  <c r="P30" i="22"/>
  <c r="N30" i="22"/>
  <c r="S35" i="6"/>
  <c r="U82" i="24"/>
  <c r="O80" i="6"/>
  <c r="N42" i="6"/>
  <c r="T44" i="24"/>
  <c r="N37" i="22"/>
  <c r="S42" i="6"/>
  <c r="U38" i="24"/>
  <c r="O36" i="6"/>
  <c r="N36" i="6"/>
  <c r="T38" i="24"/>
  <c r="P13" i="6"/>
  <c r="V15" i="24"/>
  <c r="E15" i="24"/>
  <c r="I13" i="6"/>
  <c r="I15" i="24"/>
  <c r="O8" i="22"/>
  <c r="D15" i="24"/>
  <c r="J13" i="6"/>
  <c r="Q8" i="22"/>
  <c r="H13" i="6"/>
  <c r="F13" i="6"/>
  <c r="G13" i="6"/>
  <c r="H15" i="24"/>
  <c r="O15" i="24"/>
  <c r="P15" i="24"/>
  <c r="E13" i="6"/>
  <c r="N15" i="24"/>
  <c r="J15" i="24"/>
  <c r="C15" i="24"/>
  <c r="P8" i="22"/>
  <c r="G15" i="24"/>
  <c r="D13" i="6"/>
  <c r="N8" i="22"/>
  <c r="S13" i="6"/>
  <c r="O33" i="6"/>
  <c r="U35" i="24"/>
  <c r="V88" i="24"/>
  <c r="P86" i="6"/>
  <c r="O47" i="6"/>
  <c r="U49" i="24"/>
  <c r="N42" i="22"/>
  <c r="S47" i="6"/>
  <c r="N82" i="6"/>
  <c r="T84" i="24"/>
  <c r="P82" i="6"/>
  <c r="V84" i="24"/>
  <c r="N70" i="22"/>
  <c r="S75" i="6"/>
  <c r="N104" i="6"/>
  <c r="T106" i="24"/>
  <c r="O104" i="6"/>
  <c r="U106" i="24"/>
  <c r="P51" i="6"/>
  <c r="V53" i="24"/>
  <c r="H51" i="6"/>
  <c r="J51" i="6"/>
  <c r="O53" i="24"/>
  <c r="J53" i="24"/>
  <c r="D51" i="6"/>
  <c r="I53" i="24"/>
  <c r="Q46" i="22"/>
  <c r="N53" i="24"/>
  <c r="G53" i="24"/>
  <c r="G51" i="6"/>
  <c r="F51" i="6"/>
  <c r="E53" i="24"/>
  <c r="D53" i="24"/>
  <c r="O46" i="22"/>
  <c r="C53" i="24"/>
  <c r="P53" i="24"/>
  <c r="I51" i="6"/>
  <c r="H53" i="24"/>
  <c r="P46" i="22"/>
  <c r="E51" i="6"/>
  <c r="I26" i="6"/>
  <c r="J26" i="6"/>
  <c r="H26" i="6"/>
  <c r="I28" i="24"/>
  <c r="N28" i="24"/>
  <c r="C28" i="24"/>
  <c r="E28" i="24"/>
  <c r="F26" i="6"/>
  <c r="O21" i="22"/>
  <c r="G26" i="6"/>
  <c r="D28" i="24"/>
  <c r="G28" i="24"/>
  <c r="P21" i="22"/>
  <c r="P28" i="24"/>
  <c r="D26" i="6"/>
  <c r="H28" i="24"/>
  <c r="E26" i="6"/>
  <c r="Q21" i="22"/>
  <c r="J28" i="24"/>
  <c r="O28" i="24"/>
  <c r="O56" i="6"/>
  <c r="U58" i="24"/>
  <c r="H71" i="6"/>
  <c r="O73" i="24"/>
  <c r="J71" i="6"/>
  <c r="I71" i="6"/>
  <c r="E71" i="6"/>
  <c r="O66" i="22"/>
  <c r="H73" i="24"/>
  <c r="E73" i="24"/>
  <c r="N73" i="24"/>
  <c r="P73" i="24"/>
  <c r="P66" i="22"/>
  <c r="F71" i="6"/>
  <c r="I73" i="24"/>
  <c r="J73" i="24"/>
  <c r="G71" i="6"/>
  <c r="G73" i="24"/>
  <c r="Q66" i="22"/>
  <c r="D73" i="24"/>
  <c r="D71" i="6"/>
  <c r="C73" i="24"/>
  <c r="N27" i="22"/>
  <c r="S32" i="6"/>
  <c r="J49" i="6"/>
  <c r="H49" i="6"/>
  <c r="E51" i="24"/>
  <c r="G51" i="24"/>
  <c r="I49" i="6"/>
  <c r="P51" i="24"/>
  <c r="D49" i="6"/>
  <c r="F49" i="6"/>
  <c r="I51" i="24"/>
  <c r="P44" i="22"/>
  <c r="J51" i="24"/>
  <c r="C51" i="24"/>
  <c r="Q44" i="22"/>
  <c r="N51" i="24"/>
  <c r="O51" i="24"/>
  <c r="G49" i="6"/>
  <c r="D51" i="24"/>
  <c r="E49" i="6"/>
  <c r="H51" i="24"/>
  <c r="O44" i="22"/>
  <c r="N44" i="22"/>
  <c r="S49" i="6"/>
  <c r="N30" i="6"/>
  <c r="T32" i="24"/>
  <c r="N36" i="22"/>
  <c r="S41" i="6"/>
  <c r="I98" i="6"/>
  <c r="J98" i="6"/>
  <c r="H98" i="6"/>
  <c r="E100" i="24"/>
  <c r="O93" i="22"/>
  <c r="C100" i="24"/>
  <c r="J100" i="24"/>
  <c r="N100" i="24"/>
  <c r="P93" i="22"/>
  <c r="G98" i="6"/>
  <c r="I100" i="24"/>
  <c r="H100" i="24"/>
  <c r="D100" i="24"/>
  <c r="Q93" i="22"/>
  <c r="P100" i="24"/>
  <c r="E98" i="6"/>
  <c r="F98" i="6"/>
  <c r="D98" i="6"/>
  <c r="G100" i="24"/>
  <c r="O100" i="24"/>
  <c r="U81" i="24"/>
  <c r="O79" i="6"/>
  <c r="I90" i="6"/>
  <c r="J90" i="6"/>
  <c r="Q85" i="22"/>
  <c r="N92" i="24"/>
  <c r="O92" i="24"/>
  <c r="D90" i="6"/>
  <c r="C92" i="24"/>
  <c r="J92" i="24"/>
  <c r="E90" i="6"/>
  <c r="E92" i="24"/>
  <c r="P92" i="24"/>
  <c r="P85" i="22"/>
  <c r="G92" i="24"/>
  <c r="H90" i="6"/>
  <c r="I92" i="24"/>
  <c r="G90" i="6"/>
  <c r="O85" i="22"/>
  <c r="H92" i="24"/>
  <c r="F90" i="6"/>
  <c r="D92" i="24"/>
  <c r="T18" i="24"/>
  <c r="N16" i="6"/>
  <c r="N11" i="22"/>
  <c r="S16" i="6"/>
  <c r="V39" i="24"/>
  <c r="P37" i="6"/>
  <c r="O37" i="6"/>
  <c r="U39" i="24"/>
  <c r="N37" i="6"/>
  <c r="T39" i="24"/>
  <c r="N32" i="22"/>
  <c r="S37" i="6"/>
  <c r="P65" i="6"/>
  <c r="V67" i="24"/>
  <c r="U67" i="24"/>
  <c r="O65" i="6"/>
  <c r="N5" i="22"/>
  <c r="S10" i="6"/>
  <c r="U72" i="24"/>
  <c r="O70" i="6"/>
  <c r="N45" i="24"/>
  <c r="H43" i="6"/>
  <c r="I43" i="6"/>
  <c r="Q38" i="22"/>
  <c r="G45" i="24"/>
  <c r="C45" i="24"/>
  <c r="D43" i="6"/>
  <c r="J45" i="24"/>
  <c r="E43" i="6"/>
  <c r="E45" i="24"/>
  <c r="G43" i="6"/>
  <c r="O45" i="24"/>
  <c r="J43" i="6"/>
  <c r="I45" i="24"/>
  <c r="F43" i="6"/>
  <c r="H45" i="24"/>
  <c r="D45" i="24"/>
  <c r="P38" i="22"/>
  <c r="P45" i="24"/>
  <c r="O38" i="22"/>
  <c r="N43" i="6"/>
  <c r="T45" i="24"/>
  <c r="N38" i="22"/>
  <c r="S43" i="6"/>
  <c r="O19" i="6"/>
  <c r="U21" i="24"/>
  <c r="N59" i="22"/>
  <c r="S64" i="6"/>
  <c r="T85" i="24"/>
  <c r="N83" i="6"/>
  <c r="N78" i="22"/>
  <c r="S83" i="6"/>
  <c r="D9" i="6"/>
  <c r="P4" i="22"/>
  <c r="S4" i="22"/>
  <c r="O9" i="6"/>
  <c r="P6" i="22"/>
  <c r="S6" i="22"/>
  <c r="U13" i="24"/>
  <c r="D11" i="6"/>
  <c r="N14" i="24"/>
  <c r="O14" i="24"/>
  <c r="P14" i="24"/>
  <c r="Q4" i="22"/>
  <c r="T4" i="22"/>
  <c r="V11" i="24"/>
  <c r="P7" i="22"/>
  <c r="S7" i="22"/>
  <c r="O12" i="6"/>
  <c r="N13" i="24"/>
  <c r="O13" i="24"/>
  <c r="P13" i="24"/>
  <c r="P3" i="22"/>
  <c r="S3" i="22"/>
  <c r="U10" i="24"/>
  <c r="D10" i="6"/>
  <c r="P5" i="22"/>
  <c r="N11" i="24"/>
  <c r="O11" i="24"/>
  <c r="P11" i="24"/>
  <c r="E12" i="6"/>
  <c r="H14" i="24"/>
  <c r="I13" i="24"/>
  <c r="G11" i="6"/>
  <c r="F11" i="6"/>
  <c r="H12" i="24"/>
  <c r="E10" i="6"/>
  <c r="I11" i="24"/>
  <c r="G9" i="6"/>
  <c r="F9" i="6"/>
  <c r="G10" i="24"/>
  <c r="T10" i="24"/>
  <c r="N8" i="6"/>
  <c r="N12" i="24"/>
  <c r="O12" i="24"/>
  <c r="P12" i="24"/>
  <c r="T14" i="24"/>
  <c r="N12" i="6"/>
  <c r="N11" i="6"/>
  <c r="T13" i="24"/>
  <c r="N10" i="24"/>
  <c r="O10" i="24"/>
  <c r="P10" i="24"/>
  <c r="T12" i="24"/>
  <c r="N10" i="6"/>
  <c r="D12" i="6"/>
  <c r="E11" i="6"/>
  <c r="E9" i="6"/>
  <c r="N9" i="6"/>
  <c r="T11" i="24"/>
  <c r="U11" i="24"/>
  <c r="O11" i="6"/>
  <c r="Q6" i="22"/>
  <c r="T6" i="22"/>
  <c r="P11" i="6"/>
  <c r="U14" i="24"/>
  <c r="Q3" i="22"/>
  <c r="T3" i="22"/>
  <c r="V10" i="24"/>
  <c r="O8" i="6"/>
  <c r="P9" i="6"/>
  <c r="Q7" i="22"/>
  <c r="T7" i="22"/>
  <c r="V14" i="24"/>
  <c r="S5" i="22"/>
  <c r="Q5" i="22"/>
  <c r="T5" i="22"/>
  <c r="F12" i="6"/>
  <c r="I14" i="24"/>
  <c r="G12" i="6"/>
  <c r="H10" i="24"/>
  <c r="E8" i="6"/>
  <c r="F10" i="6"/>
  <c r="I12" i="24"/>
  <c r="G10" i="6"/>
  <c r="P8" i="6"/>
  <c r="V13" i="24"/>
  <c r="P12" i="6"/>
  <c r="U12" i="24"/>
  <c r="O10" i="6"/>
  <c r="V12" i="24"/>
  <c r="P10" i="6"/>
  <c r="I10" i="24"/>
  <c r="G8" i="6"/>
  <c r="F8" i="6"/>
</calcChain>
</file>

<file path=xl/sharedStrings.xml><?xml version="1.0" encoding="utf-8"?>
<sst xmlns="http://schemas.openxmlformats.org/spreadsheetml/2006/main" count="585" uniqueCount="197">
  <si>
    <t>For acceptable use of this template, refer to McLean &amp; Company's Terms of Use. These documents are intended to supply general information only, not specific professional, personal, legal, or accounting advice, and are not intended to be used as a substitute for any kind of professional advice. Use this document either in whole or in part as a basis and guide for document creation. To customize this document with corporate marks and titles, simply replace the McLean &amp; Company information in the Header field of this document.</t>
  </si>
  <si>
    <t>Data Review</t>
  </si>
  <si>
    <r>
      <t xml:space="preserve">This tab helps identify the underlying data that needs to be collected to facilitate workforce planning and assess the quality of each data point. Note that some data may be stored in multiple systems (especially if including contingent workers). For each data point, consider:
</t>
    </r>
    <r>
      <rPr>
        <b/>
        <sz val="10"/>
        <rFont val="Arial"/>
        <family val="2"/>
      </rPr>
      <t>System of Record:</t>
    </r>
    <r>
      <rPr>
        <sz val="10"/>
        <rFont val="Arial"/>
        <family val="2"/>
      </rPr>
      <t xml:space="preserve"> What system does the data reside in?
</t>
    </r>
    <r>
      <rPr>
        <b/>
        <sz val="10"/>
        <rFont val="Arial"/>
        <family val="2"/>
      </rPr>
      <t>Owner:</t>
    </r>
    <r>
      <rPr>
        <sz val="10"/>
        <rFont val="Arial"/>
        <family val="2"/>
      </rPr>
      <t xml:space="preserve"> Who owns the system (either individual or department)?
</t>
    </r>
    <r>
      <rPr>
        <b/>
        <sz val="10"/>
        <rFont val="Arial"/>
        <family val="2"/>
      </rPr>
      <t>Standard Definition:</t>
    </r>
    <r>
      <rPr>
        <sz val="10"/>
        <rFont val="Arial"/>
        <family val="2"/>
      </rPr>
      <t xml:space="preserve"> Is there a standard definition of the data point across your organization? 
</t>
    </r>
    <r>
      <rPr>
        <b/>
        <sz val="10"/>
        <rFont val="Arial"/>
        <family val="2"/>
      </rPr>
      <t>Data Quality:</t>
    </r>
    <r>
      <rPr>
        <sz val="10"/>
        <rFont val="Arial"/>
        <family val="2"/>
      </rPr>
      <t xml:space="preserve"> How accurate and complete is the data?
</t>
    </r>
    <r>
      <rPr>
        <b/>
        <sz val="10"/>
        <rFont val="Arial"/>
        <family val="2"/>
      </rPr>
      <t>Data Usability:</t>
    </r>
    <r>
      <rPr>
        <sz val="10"/>
        <rFont val="Arial"/>
        <family val="2"/>
      </rPr>
      <t xml:space="preserve"> How easy is it to access and manipulate the data?
Delete the sample grey text before using and change the text color to black. </t>
    </r>
  </si>
  <si>
    <t>Required Data</t>
  </si>
  <si>
    <t>Access to Data</t>
  </si>
  <si>
    <t>State of Data</t>
  </si>
  <si>
    <t>System of Record</t>
  </si>
  <si>
    <t>Owner</t>
  </si>
  <si>
    <t>Standard Definition</t>
  </si>
  <si>
    <t>Data Quality</t>
  </si>
  <si>
    <t>Data Usability</t>
  </si>
  <si>
    <t>Headcount</t>
  </si>
  <si>
    <t>Workday</t>
  </si>
  <si>
    <t>HR - John</t>
  </si>
  <si>
    <t>Acceptable</t>
  </si>
  <si>
    <t>Needs Work</t>
  </si>
  <si>
    <t>Turnover</t>
  </si>
  <si>
    <t>Average sales performance</t>
  </si>
  <si>
    <t>Salesforce</t>
  </si>
  <si>
    <t>Sales</t>
  </si>
  <si>
    <t>Setup &amp; Role Data</t>
  </si>
  <si>
    <r>
      <t xml:space="preserve">This tab should be completed by HR before starting the workforce planning process. It creates drop-down menus in other areas of the tool and </t>
    </r>
    <r>
      <rPr>
        <b/>
        <sz val="10"/>
        <rFont val="Arial"/>
        <family val="2"/>
      </rPr>
      <t xml:space="preserve">restricts entry of role titles to those included here. </t>
    </r>
    <r>
      <rPr>
        <sz val="10"/>
        <rFont val="Arial"/>
        <family val="2"/>
      </rPr>
      <t xml:space="preserve">Populate this tab once at the beginning of the project with the roles that exist in the organization. Revisit it after new roles have been created as a result of talent needs analysis, including those new roles so that they will be reflected in projections on the following tabs. Grey fields (Total Attrition) are automatically calculated based on the historic role reductions and additions entered, but if this analysis was done elsewhere the column can be overwritten with the final figure desired for the tool.
Delete the sample grey text before using and change the text color to black. </t>
    </r>
  </si>
  <si>
    <t>Department List</t>
  </si>
  <si>
    <t>Diversity Criteria</t>
  </si>
  <si>
    <t>Role List</t>
  </si>
  <si>
    <t>Historical Role Reductions</t>
  </si>
  <si>
    <t>Historic Role Additions</t>
  </si>
  <si>
    <t>HR</t>
  </si>
  <si>
    <t>African American</t>
  </si>
  <si>
    <t>Role</t>
  </si>
  <si>
    <t>Avg. Total Comp.</t>
  </si>
  <si>
    <t>Total Attrition</t>
  </si>
  <si>
    <t>Retirement</t>
  </si>
  <si>
    <t>Leaves/Promotions</t>
  </si>
  <si>
    <t>Absenteeism</t>
  </si>
  <si>
    <t>Leaves/Transfers/Promotions</t>
  </si>
  <si>
    <t>Customer Service</t>
  </si>
  <si>
    <t>European American</t>
  </si>
  <si>
    <t>Researcher</t>
  </si>
  <si>
    <t>Sales Engage</t>
  </si>
  <si>
    <t>Asian</t>
  </si>
  <si>
    <t>Sales Acquire</t>
  </si>
  <si>
    <t>Research</t>
  </si>
  <si>
    <t>Hispanic</t>
  </si>
  <si>
    <t>Account Manager</t>
  </si>
  <si>
    <t>Innovation</t>
  </si>
  <si>
    <t>Designers</t>
  </si>
  <si>
    <t>Marketers</t>
  </si>
  <si>
    <t>Maintenance</t>
  </si>
  <si>
    <t>Engineer</t>
  </si>
  <si>
    <t>Employee Information</t>
  </si>
  <si>
    <t xml:space="preserve">This tab is designed to copy and paste information from a payroll or HR information system (HRIS) containing basic workforce data. It is used to populate tab 5, Workforce Profile, and to calculate the total headcount of each role on tab 7, Demand &amp; Supply Forecast. If desired, this tab can be left blank and headcount information can be manually entered in tab 7.
Note that Department, Role, Gender, and Diversity columns are restricted so that only eligible values can be entered into them based on what was entered in tab 3, Setup &amp; Role Data. To alter these values, go back and make adjustments to tab 3.
Delete the sample grey text before using and change the text color to black. </t>
  </si>
  <si>
    <t>Empl ID</t>
  </si>
  <si>
    <t>Department</t>
  </si>
  <si>
    <t>Hire Date</t>
  </si>
  <si>
    <t>Start Date in Role</t>
  </si>
  <si>
    <t>DOB</t>
  </si>
  <si>
    <t>Gender</t>
  </si>
  <si>
    <t>Diversity</t>
  </si>
  <si>
    <t>Tenure</t>
  </si>
  <si>
    <t>Role Tenure</t>
  </si>
  <si>
    <t>Age</t>
  </si>
  <si>
    <t>Over 55</t>
  </si>
  <si>
    <t>Salary</t>
  </si>
  <si>
    <t>TenureBreakdown</t>
  </si>
  <si>
    <t>RoleTenure</t>
  </si>
  <si>
    <t>AgeBreakdown</t>
  </si>
  <si>
    <t>Male</t>
  </si>
  <si>
    <t>Female</t>
  </si>
  <si>
    <t>Other</t>
  </si>
  <si>
    <t>Workforce Profile</t>
  </si>
  <si>
    <t>Role Tenure Profile</t>
  </si>
  <si>
    <t>1 Year or Less</t>
  </si>
  <si>
    <t>2-5 Years</t>
  </si>
  <si>
    <t>6-10 Years</t>
  </si>
  <si>
    <t>10+ Years</t>
  </si>
  <si>
    <t>Organizational Tenure Profile</t>
  </si>
  <si>
    <t>Role Statistics</t>
  </si>
  <si>
    <t>Total Employees</t>
  </si>
  <si>
    <t>Annual Cost</t>
  </si>
  <si>
    <t>Age Profile</t>
  </si>
  <si>
    <t>Under 25</t>
  </si>
  <si>
    <t>25 to 34</t>
  </si>
  <si>
    <t>35 to 44</t>
  </si>
  <si>
    <t>45 to 54</t>
  </si>
  <si>
    <t>55 to  64</t>
  </si>
  <si>
    <t>Over 65</t>
  </si>
  <si>
    <t>Role Evaluation</t>
  </si>
  <si>
    <t>New Competency Required</t>
  </si>
  <si>
    <t>Description of New Competency</t>
  </si>
  <si>
    <t>Classification</t>
  </si>
  <si>
    <t>Change in External Availability</t>
  </si>
  <si>
    <t>Relative Change in Internal Demand</t>
  </si>
  <si>
    <t>Include in Forecast</t>
  </si>
  <si>
    <t>No</t>
  </si>
  <si>
    <t>Supporting</t>
  </si>
  <si>
    <t>More plentiful</t>
  </si>
  <si>
    <t>No change</t>
  </si>
  <si>
    <t>Yes</t>
  </si>
  <si>
    <t>Social media monitoring</t>
  </si>
  <si>
    <t>Core</t>
  </si>
  <si>
    <t>Decrease</t>
  </si>
  <si>
    <t>Critical</t>
  </si>
  <si>
    <t>More scarce</t>
  </si>
  <si>
    <t>Python</t>
  </si>
  <si>
    <t>Increase</t>
  </si>
  <si>
    <t>Demand &amp; Supply Forecast</t>
  </si>
  <si>
    <r>
      <t xml:space="preserve">This tab collects supply and demand projections for selected roles identified in tab 6, Role Evaluation. Change the roles that are being projected by adjusting the "Include in Forecast" option for roles in tab 6.  The grey fields are prepopulated with information entered previously, only the white fields need to be completed. Note that while the tool offers up to three time periods for projection, it can be used for only one as well. If you only want to project for one year, hide, do not delete, the columns for Years 2 and 3.
</t>
    </r>
    <r>
      <rPr>
        <b/>
        <sz val="10"/>
        <rFont val="Arial"/>
        <family val="2"/>
      </rPr>
      <t>Projected Growth:</t>
    </r>
    <r>
      <rPr>
        <sz val="10"/>
        <rFont val="Arial"/>
        <family val="2"/>
      </rPr>
      <t xml:space="preserve"> This creates a base demand projection for each role, growing or shrinking the number each year by the figure entered here. 
</t>
    </r>
    <r>
      <rPr>
        <b/>
        <sz val="10"/>
        <rFont val="Arial"/>
        <family val="2"/>
      </rPr>
      <t>Role Information:</t>
    </r>
    <r>
      <rPr>
        <sz val="10"/>
        <rFont val="Arial"/>
        <family val="2"/>
      </rPr>
      <t xml:space="preserve"> This section contains information collected from previous data entered in the worksheet, however, it is possible overwrite the formulas and manually enter data if parts of tab 3 and tab 4 were not completed. The attrition figure here is used to create the base supply projection.
</t>
    </r>
    <r>
      <rPr>
        <b/>
        <sz val="10"/>
        <rFont val="Arial"/>
        <family val="2"/>
      </rPr>
      <t>Cost Modifier:</t>
    </r>
    <r>
      <rPr>
        <sz val="10"/>
        <rFont val="Arial"/>
        <family val="2"/>
      </rPr>
      <t xml:space="preserve"> The amount that the total cost of the role (salary, benefits, etc.) is expected to grow each year. This is used for the total cost projections.
</t>
    </r>
    <r>
      <rPr>
        <b/>
        <sz val="10"/>
        <rFont val="Arial"/>
        <family val="2"/>
      </rPr>
      <t>Base Demand Projection:</t>
    </r>
    <r>
      <rPr>
        <sz val="10"/>
        <rFont val="Arial"/>
        <family val="2"/>
      </rPr>
      <t xml:space="preserve"> This number is autopopulated using the projected growth to calculate the demand for each role. This is meant to help establish parameters for projections and not be conclusive. The arrows indicate the expected change in internal demand indicated on tab 6, Role Evaluation. For example, a green arrow would indicate a greater demand than the base projection.
</t>
    </r>
    <r>
      <rPr>
        <b/>
        <sz val="10"/>
        <rFont val="Arial"/>
        <family val="2"/>
      </rPr>
      <t>Modified Demand Projection:</t>
    </r>
    <r>
      <rPr>
        <sz val="10"/>
        <rFont val="Arial"/>
        <family val="2"/>
      </rPr>
      <t xml:space="preserve"> Enter the projected demand for this role over the next three time periods. To get this, adjust the base demand prediction to reflect what the arrow is saying using your understanding of the organization and what it requires to execute on objectives.
</t>
    </r>
    <r>
      <rPr>
        <b/>
        <sz val="10"/>
        <rFont val="Arial"/>
        <family val="2"/>
      </rPr>
      <t>Base Supply Projection:</t>
    </r>
    <r>
      <rPr>
        <sz val="10"/>
        <rFont val="Arial"/>
        <family val="2"/>
      </rPr>
      <t xml:space="preserve"> This is autopopulated using attrition to calculate the supply for each role. This is meant to help establish parameters for projections and not be conclusive. 
</t>
    </r>
    <r>
      <rPr>
        <b/>
        <sz val="10"/>
        <rFont val="Arial"/>
        <family val="2"/>
      </rPr>
      <t>Modified Supply Projection:</t>
    </r>
    <r>
      <rPr>
        <sz val="10"/>
        <rFont val="Arial"/>
        <family val="2"/>
      </rPr>
      <t xml:space="preserve"> Enter the projected supply for this role over the next three time periods based on insights into the current workforce. 
</t>
    </r>
    <r>
      <rPr>
        <b/>
        <sz val="10"/>
        <rFont val="Arial"/>
        <family val="2"/>
      </rPr>
      <t>Total Cost Projection:</t>
    </r>
    <r>
      <rPr>
        <sz val="10"/>
        <rFont val="Arial"/>
        <family val="2"/>
      </rPr>
      <t xml:space="preserve"> This displays a projected cost. It increases the average cost (entered on tab 3) by the cost modifier and multiplies this by the Modified Demand Projection for each year.</t>
    </r>
  </si>
  <si>
    <t>Projected Growth</t>
  </si>
  <si>
    <t>Role Information</t>
  </si>
  <si>
    <t>Base Demand Projection</t>
  </si>
  <si>
    <t>Modified Demand Projection</t>
  </si>
  <si>
    <t>Base Supply Projection</t>
  </si>
  <si>
    <t>Modified Supply Projection</t>
  </si>
  <si>
    <t>Total Cost Projection</t>
  </si>
  <si>
    <t>Current 
Headcount</t>
  </si>
  <si>
    <t>% Over 55</t>
  </si>
  <si>
    <t>Attrition</t>
  </si>
  <si>
    <t>Cost Modifier</t>
  </si>
  <si>
    <t>Year 1</t>
  </si>
  <si>
    <t>Year 2</t>
  </si>
  <si>
    <t>Year 3</t>
  </si>
  <si>
    <t>Forecast Summary</t>
  </si>
  <si>
    <t>No data entry is required on this tab. It summarizes the projections for each role, including the demand forecast, the size of the gaps, the estimated cost each year, and any projected changes to the role. This tab is setup to be printed on legal paper if needed.</t>
  </si>
  <si>
    <t>Demand</t>
  </si>
  <si>
    <t>Supply</t>
  </si>
  <si>
    <t>Gap</t>
  </si>
  <si>
    <t>Cost</t>
  </si>
  <si>
    <t>Projected Changes to Role</t>
  </si>
  <si>
    <t>Y1</t>
  </si>
  <si>
    <t>Y2</t>
  </si>
  <si>
    <t>Y3</t>
  </si>
  <si>
    <t>New Competency
Required</t>
  </si>
  <si>
    <t>Description</t>
  </si>
  <si>
    <t>External Availability</t>
  </si>
  <si>
    <t>Action Plan</t>
  </si>
  <si>
    <t xml:space="preserve">Complete the following chart to develop a high-level action plan to address workforce gaps. For each action, document which gaps it will address, who owns it and will perform the action, a target start and completion date, required resources, and any additional notes. This tab can also be used to keep track of your progress.
Delete the sample grey text before using and change the text color to black. </t>
  </si>
  <si>
    <t>Action</t>
  </si>
  <si>
    <t>Gap Addressed</t>
  </si>
  <si>
    <t>Task Owner</t>
  </si>
  <si>
    <t>Task Performer</t>
  </si>
  <si>
    <t>Target Start Date</t>
  </si>
  <si>
    <t>Target Completion Date</t>
  </si>
  <si>
    <t>Resources Required</t>
  </si>
  <si>
    <t>Notes</t>
  </si>
  <si>
    <t>Progress</t>
  </si>
  <si>
    <t>Develop and execute succession planning for the global sales workforce for mission-critical positions.</t>
  </si>
  <si>
    <t>Sales Acquire &amp; Sales Engage</t>
  </si>
  <si>
    <t>Jessica Leigh</t>
  </si>
  <si>
    <t>Anne George, Kim Lee</t>
  </si>
  <si>
    <t>60 hours, talent management software solution</t>
  </si>
  <si>
    <t>Investigate flexible succession planning as option.</t>
  </si>
  <si>
    <t>In progress</t>
  </si>
  <si>
    <t># these calculations take data from 7. Demand &amp; Supply Forecast</t>
  </si>
  <si>
    <t>Include?</t>
  </si>
  <si>
    <t>Include List</t>
  </si>
  <si>
    <t>Include List2</t>
  </si>
  <si>
    <t>Avg Total Comp.</t>
  </si>
  <si>
    <t>New Skill</t>
  </si>
  <si>
    <t>Skill Description</t>
  </si>
  <si>
    <t>Demand#</t>
  </si>
  <si>
    <t>Supply#</t>
  </si>
  <si>
    <t>Avg Salary Y1</t>
  </si>
  <si>
    <t>Avg Salary Y2</t>
  </si>
  <si>
    <t>Avg Salary Y3</t>
  </si>
  <si>
    <t>Cost Y1</t>
  </si>
  <si>
    <t>Cost Y2</t>
  </si>
  <si>
    <t>Cost Y3</t>
  </si>
  <si>
    <t>Gap Y1</t>
  </si>
  <si>
    <t>Gap Y2</t>
  </si>
  <si>
    <t>Gap Y3</t>
  </si>
  <si>
    <t>Quality Dropdown</t>
  </si>
  <si>
    <t>Role Classification</t>
  </si>
  <si>
    <t>Demand Change</t>
  </si>
  <si>
    <t>External Availabilty</t>
  </si>
  <si>
    <t>Competency Level</t>
  </si>
  <si>
    <t>Role Dropdown</t>
  </si>
  <si>
    <t>Dept Dropdown</t>
  </si>
  <si>
    <t>Diversity Dropdown</t>
  </si>
  <si>
    <t>Answer</t>
  </si>
  <si>
    <t>Completed</t>
  </si>
  <si>
    <t>Unacceptable</t>
  </si>
  <si>
    <t>Not yet started</t>
  </si>
  <si>
    <t>Pivot Tables</t>
  </si>
  <si>
    <t>Row Labels</t>
  </si>
  <si>
    <t>Count of Empl ID</t>
  </si>
  <si>
    <t>Count of TenureBreakdown</t>
  </si>
  <si>
    <t>Total Cost</t>
  </si>
  <si>
    <t>Count of AgeBreakdown</t>
  </si>
  <si>
    <t>Average 
Age</t>
  </si>
  <si>
    <t>Number of Employees Over 55</t>
  </si>
  <si>
    <t>Count of RoleTenure</t>
  </si>
  <si>
    <t>Grand Total</t>
  </si>
  <si>
    <r>
      <t xml:space="preserve">This tab requires no input, but allows analysis of the current workforce to help identify trends of concern or note. This tab is constructed using pivot tables based on the data inputted on tab 4, Employee Info.  It will update every time the tool is opened; this means that once data is entered in tab 4 you must save, close, and reopen the file for it to be displayed here [or click "Refresh All" on the "Data" tab on the Ribbon in the "Connections" group]. When examining roles, look at:
</t>
    </r>
    <r>
      <rPr>
        <b/>
        <sz val="10"/>
        <color indexed="63"/>
        <rFont val="Arial"/>
        <family val="2"/>
      </rPr>
      <t>Diversity and Gender Breakdowns:</t>
    </r>
    <r>
      <rPr>
        <sz val="10"/>
        <color indexed="63"/>
        <rFont val="Arial"/>
        <family val="2"/>
      </rPr>
      <t xml:space="preserve"> Displays the number of employees in each category. Examine by roles/departments to identify trends in your workforce.
</t>
    </r>
    <r>
      <rPr>
        <b/>
        <sz val="10"/>
        <color indexed="63"/>
        <rFont val="Arial"/>
        <family val="2"/>
      </rPr>
      <t>Role Tenure Profile:</t>
    </r>
    <r>
      <rPr>
        <sz val="10"/>
        <color indexed="63"/>
        <rFont val="Arial"/>
        <family val="2"/>
      </rPr>
      <t xml:space="preserve"> The amount of time employees have spent in their role. Roles that have very low tenure may indicate fast turnover or movement outside of the role. Keep this in mind when creating projections.   
</t>
    </r>
    <r>
      <rPr>
        <b/>
        <sz val="10"/>
        <color indexed="63"/>
        <rFont val="Arial"/>
        <family val="2"/>
      </rPr>
      <t>Organizational Tenure Profile:</t>
    </r>
    <r>
      <rPr>
        <sz val="10"/>
        <color indexed="63"/>
        <rFont val="Arial"/>
        <family val="2"/>
      </rPr>
      <t xml:space="preserve"> The amount of time employees have spent in the organization. Roles with very high tenure may indicate higher training and development requirements to fulfill duties.
</t>
    </r>
    <r>
      <rPr>
        <b/>
        <sz val="10"/>
        <color indexed="63"/>
        <rFont val="Arial"/>
        <family val="2"/>
      </rPr>
      <t>Role Statistics:</t>
    </r>
    <r>
      <rPr>
        <sz val="10"/>
        <color indexed="63"/>
        <rFont val="Arial"/>
        <family val="2"/>
      </rPr>
      <t xml:space="preserve"> The number of employees and total cost allocated to each role.
</t>
    </r>
    <r>
      <rPr>
        <b/>
        <sz val="10"/>
        <color indexed="63"/>
        <rFont val="Arial"/>
        <family val="2"/>
      </rPr>
      <t>Age Profile:</t>
    </r>
    <r>
      <rPr>
        <sz val="10"/>
        <color indexed="63"/>
        <rFont val="Arial"/>
        <family val="2"/>
      </rPr>
      <t xml:space="preserve"> Roles with an older workforce will likely need greater replacements due to retirements. Keep this in mind when creating projections. </t>
    </r>
  </si>
  <si>
    <r>
      <t xml:space="preserve">This tab collects the results of qualitative analysis completed when defining talent needs (talent implications of organizational aspirations, PESTLE analysis, labor market analysis, etc.). Delete the grey example text before using.
</t>
    </r>
    <r>
      <rPr>
        <b/>
        <sz val="10"/>
        <color indexed="63"/>
        <rFont val="Arial"/>
        <family val="2"/>
      </rPr>
      <t>New Competency Required/Description of New Competency:</t>
    </r>
    <r>
      <rPr>
        <sz val="10"/>
        <color indexed="63"/>
        <rFont val="Arial"/>
        <family val="2"/>
      </rPr>
      <t xml:space="preserve"> If a new competency was identified that has to be added to a role, select yes and enter a brief description.
</t>
    </r>
    <r>
      <rPr>
        <b/>
        <sz val="10"/>
        <color indexed="63"/>
        <rFont val="Arial"/>
        <family val="2"/>
      </rPr>
      <t>Classification:</t>
    </r>
    <r>
      <rPr>
        <sz val="10"/>
        <color indexed="63"/>
        <rFont val="Arial"/>
        <family val="2"/>
      </rPr>
      <t xml:space="preserve"> Using the results from McLean &amp; Company's</t>
    </r>
    <r>
      <rPr>
        <i/>
        <sz val="10"/>
        <color indexed="63"/>
        <rFont val="Arial"/>
        <family val="2"/>
      </rPr>
      <t xml:space="preserve"> Critical Role Identifier, </t>
    </r>
    <r>
      <rPr>
        <sz val="10"/>
        <color indexed="63"/>
        <rFont val="Arial"/>
        <family val="2"/>
      </rPr>
      <t xml:space="preserve">evaluate roles and determine whether they were critical, core, or supporting.
</t>
    </r>
    <r>
      <rPr>
        <b/>
        <sz val="10"/>
        <color indexed="63"/>
        <rFont val="Arial"/>
        <family val="2"/>
      </rPr>
      <t>Change in External Availability:</t>
    </r>
    <r>
      <rPr>
        <sz val="10"/>
        <color indexed="63"/>
        <rFont val="Arial"/>
        <family val="2"/>
      </rPr>
      <t xml:space="preserve"> Based on the market analysis of the role, indicate how you expect the external talent pool to change in the future.
</t>
    </r>
    <r>
      <rPr>
        <b/>
        <sz val="10"/>
        <color indexed="63"/>
        <rFont val="Arial"/>
        <family val="2"/>
      </rPr>
      <t>Relative Change in Internal Demand:</t>
    </r>
    <r>
      <rPr>
        <sz val="10"/>
        <color indexed="63"/>
        <rFont val="Arial"/>
        <family val="2"/>
      </rPr>
      <t xml:space="preserve"> Drawing on your understanding of the organizational strategy and an environmental analysis (PESTLE, etc.), indicate how the demand for this role will change in the organization.
</t>
    </r>
    <r>
      <rPr>
        <b/>
        <sz val="10"/>
        <color indexed="63"/>
        <rFont val="Arial"/>
        <family val="2"/>
      </rPr>
      <t xml:space="preserve">Include in Forecast: </t>
    </r>
    <r>
      <rPr>
        <sz val="10"/>
        <color indexed="63"/>
        <rFont val="Arial"/>
        <family val="2"/>
      </rPr>
      <t>Select whether the role should be included in the forecast. While McLean &amp; Company recommends forecasting for critical roles, there are exceptions depending on the objectives of workforce planning. See the blueprint for more information.</t>
    </r>
  </si>
  <si>
    <r>
      <t xml:space="preserve">Use this workbook to facilitate the workforce planning process in your organization. It is designed to accompany McLean &amp; Company's </t>
    </r>
    <r>
      <rPr>
        <i/>
        <sz val="10"/>
        <rFont val="Arial"/>
        <family val="2"/>
      </rPr>
      <t>Develop a Workforce Plan to Address Talent Needs</t>
    </r>
    <r>
      <rPr>
        <sz val="10"/>
        <rFont val="Arial"/>
        <family val="2"/>
      </rPr>
      <t xml:space="preserve"> blueprint. The workbook includes:
</t>
    </r>
    <r>
      <rPr>
        <b/>
        <sz val="10"/>
        <rFont val="Arial"/>
        <family val="2"/>
      </rPr>
      <t xml:space="preserve">2. Data Review: </t>
    </r>
    <r>
      <rPr>
        <sz val="10"/>
        <rFont val="Arial"/>
        <family val="2"/>
      </rPr>
      <t xml:space="preserve">Identify data sources and review data quality prior to starting a workforce planning project.
</t>
    </r>
    <r>
      <rPr>
        <b/>
        <sz val="10"/>
        <rFont val="Arial"/>
        <family val="2"/>
      </rPr>
      <t xml:space="preserve">3. Setup &amp; Role Data: </t>
    </r>
    <r>
      <rPr>
        <sz val="10"/>
        <rFont val="Arial"/>
        <family val="2"/>
      </rPr>
      <t xml:space="preserve">Configure this tool by entering department and basic role information for your organization. Any new roles created as a result of workforce planning will need to be entered here as well.
</t>
    </r>
    <r>
      <rPr>
        <b/>
        <sz val="10"/>
        <rFont val="Arial"/>
        <family val="2"/>
      </rPr>
      <t>4. Employee Info:</t>
    </r>
    <r>
      <rPr>
        <sz val="10"/>
        <rFont val="Arial"/>
        <family val="2"/>
      </rPr>
      <t xml:space="preserve"> Enter data from payroll or HR information system to facilitate basic workforce analysis.
</t>
    </r>
    <r>
      <rPr>
        <b/>
        <sz val="10"/>
        <rFont val="Arial"/>
        <family val="2"/>
      </rPr>
      <t xml:space="preserve">5. Workforce Profile: </t>
    </r>
    <r>
      <rPr>
        <sz val="10"/>
        <rFont val="Arial"/>
        <family val="2"/>
      </rPr>
      <t xml:space="preserve">Examine workforce characteristics including cost, diversity, and tenure by role.
</t>
    </r>
    <r>
      <rPr>
        <b/>
        <sz val="10"/>
        <rFont val="Arial"/>
        <family val="2"/>
      </rPr>
      <t xml:space="preserve">6. Role Evaluation: </t>
    </r>
    <r>
      <rPr>
        <sz val="10"/>
        <rFont val="Arial"/>
        <family val="2"/>
      </rPr>
      <t xml:space="preserve">Enter the results of qualitative analysis to be incorporated into workforce planning model.
</t>
    </r>
    <r>
      <rPr>
        <b/>
        <sz val="10"/>
        <rFont val="Arial"/>
        <family val="2"/>
      </rPr>
      <t>7. Demand &amp; Supply Forecast:</t>
    </r>
    <r>
      <rPr>
        <sz val="10"/>
        <rFont val="Arial"/>
        <family val="2"/>
      </rPr>
      <t xml:space="preserve"> Enter the results of your projections; use Excel's Scenario Manager to create different future scenarios for evaluation.
</t>
    </r>
    <r>
      <rPr>
        <b/>
        <sz val="10"/>
        <rFont val="Arial"/>
        <family val="2"/>
      </rPr>
      <t>8. Forecast Summary:</t>
    </r>
    <r>
      <rPr>
        <sz val="10"/>
        <rFont val="Arial"/>
        <family val="2"/>
      </rPr>
      <t xml:space="preserve"> Review the results of workforce planning in a printable table.
</t>
    </r>
    <r>
      <rPr>
        <b/>
        <sz val="10"/>
        <rFont val="Arial"/>
        <family val="2"/>
      </rPr>
      <t xml:space="preserve">9. Action Plan: </t>
    </r>
    <r>
      <rPr>
        <sz val="10"/>
        <rFont val="Arial"/>
        <family val="2"/>
      </rPr>
      <t xml:space="preserve">Document the actions you plan to take as a result of workforce planning, and track progress.
</t>
    </r>
    <r>
      <rPr>
        <b/>
        <sz val="10"/>
        <rFont val="Arial"/>
        <family val="2"/>
      </rPr>
      <t>Note:</t>
    </r>
    <r>
      <rPr>
        <sz val="10"/>
        <rFont val="Arial"/>
        <family val="2"/>
      </rPr>
      <t xml:space="preserve"> This tool is saved as a macro-enabled workbook so the pivot table functionality works correctly. Changing the file type may affect the pivot table itself or the associated slicers.</t>
    </r>
  </si>
  <si>
    <t>Workforce Planning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</si>
</sst>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_-&quot;$&quot;* #,##0_-;\-&quot;$&quot;* #,##0_-;_-&quot;$&quot;* &quot;-&quot;??_-;_-@_-"/>
    <numFmt numFmtId="165" formatCode="0;\-0;;@"/>
    <numFmt numFmtId="166" formatCode="[$-409]d\-mmm\-yy;@"/>
  </numFmts>
  <fonts count="23" x14ac:knownFonts="1">
    <font>
      <sz val="11"/>
      <color theme="1"/>
      <name val="Segoe UI"/>
      <family val="2"/>
      <scheme val="minor"/>
    </font>
    <font>
      <sz val="11"/>
      <color theme="1"/>
      <name val="Segoe UI"/>
      <family val="2"/>
      <scheme val="minor"/>
    </font>
    <font>
      <sz val="10"/>
      <name val="Arial"/>
      <family val="2"/>
    </font>
    <font>
      <sz val="10"/>
      <name val="Arial"/>
      <family val="2"/>
    </font>
    <font>
      <b/>
      <sz val="18"/>
      <color theme="0"/>
      <name val="Arial"/>
      <family val="2"/>
    </font>
    <font>
      <sz val="11"/>
      <color theme="1"/>
      <name val="Arial"/>
      <family val="2"/>
    </font>
    <font>
      <b/>
      <sz val="18"/>
      <name val="Arial"/>
      <family val="2"/>
    </font>
    <font>
      <sz val="10"/>
      <color theme="0" tint="-0.499984740745262"/>
      <name val="Arial"/>
      <family val="2"/>
    </font>
    <font>
      <b/>
      <sz val="10"/>
      <name val="Arial"/>
      <family val="2"/>
    </font>
    <font>
      <b/>
      <sz val="11"/>
      <color theme="0"/>
      <name val="Arial"/>
      <family val="2"/>
    </font>
    <font>
      <sz val="10"/>
      <color theme="1"/>
      <name val="Arial"/>
      <family val="2"/>
    </font>
    <font>
      <b/>
      <sz val="11"/>
      <color theme="1"/>
      <name val="Arial"/>
      <family val="2"/>
    </font>
    <font>
      <sz val="11"/>
      <color theme="2"/>
      <name val="Arial"/>
      <family val="2"/>
    </font>
    <font>
      <b/>
      <sz val="10"/>
      <color theme="1"/>
      <name val="Arial"/>
      <family val="2"/>
    </font>
    <font>
      <sz val="11"/>
      <name val="Arial"/>
      <family val="2"/>
    </font>
    <font>
      <sz val="11"/>
      <color theme="0"/>
      <name val="Arial"/>
      <family val="2"/>
    </font>
    <font>
      <sz val="11"/>
      <color theme="0" tint="-0.499984740745262"/>
      <name val="Arial"/>
      <family val="2"/>
    </font>
    <font>
      <i/>
      <sz val="10"/>
      <name val="Arial"/>
      <family val="2"/>
    </font>
    <font>
      <sz val="11"/>
      <color theme="1"/>
      <name val="Arial"/>
    </font>
    <font>
      <b/>
      <sz val="11"/>
      <color theme="1"/>
      <name val="Arial"/>
    </font>
    <font>
      <b/>
      <sz val="10"/>
      <color indexed="63"/>
      <name val="Arial"/>
      <family val="2"/>
    </font>
    <font>
      <sz val="10"/>
      <color indexed="63"/>
      <name val="Arial"/>
      <family val="2"/>
    </font>
    <font>
      <i/>
      <sz val="10"/>
      <color indexed="63"/>
      <name val="Arial"/>
      <family val="2"/>
    </font>
  </fonts>
  <fills count="10">
    <fill>
      <patternFill patternType="none"/>
    </fill>
    <fill>
      <patternFill patternType="gray125"/>
    </fill>
    <fill>
      <patternFill patternType="solid">
        <fgColor theme="6"/>
        <bgColor indexed="64"/>
      </patternFill>
    </fill>
    <fill>
      <patternFill patternType="solid">
        <fgColor theme="4"/>
        <bgColor indexed="64"/>
      </patternFill>
    </fill>
    <fill>
      <patternFill patternType="solid">
        <fgColor theme="0"/>
        <bgColor indexed="64"/>
      </patternFill>
    </fill>
    <fill>
      <patternFill patternType="solid">
        <fgColor theme="5"/>
        <bgColor indexed="64"/>
      </patternFill>
    </fill>
    <fill>
      <patternFill patternType="solid">
        <fgColor theme="2"/>
        <bgColor indexed="64"/>
      </patternFill>
    </fill>
    <fill>
      <patternFill patternType="solid">
        <fgColor theme="5" tint="0.79998168889431442"/>
        <bgColor theme="5" tint="0.79998168889431442"/>
      </patternFill>
    </fill>
    <fill>
      <patternFill patternType="solid">
        <fgColor theme="0" tint="-4.9989318521683403E-2"/>
        <bgColor indexed="64"/>
      </patternFill>
    </fill>
    <fill>
      <patternFill patternType="solid">
        <fgColor theme="0" tint="-0.14999847407452621"/>
        <bgColor theme="5" tint="0.79998168889431442"/>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thin">
        <color theme="1" tint="0.59996337778862885"/>
      </bottom>
      <diagonal/>
    </border>
    <border>
      <left/>
      <right/>
      <top style="thin">
        <color theme="1" tint="0.59996337778862885"/>
      </top>
      <bottom style="thin">
        <color theme="1" tint="0.59996337778862885"/>
      </bottom>
      <diagonal/>
    </border>
    <border>
      <left style="medium">
        <color indexed="64"/>
      </left>
      <right/>
      <top/>
      <bottom style="thin">
        <color theme="1" tint="0.59996337778862885"/>
      </bottom>
      <diagonal/>
    </border>
    <border>
      <left style="medium">
        <color indexed="64"/>
      </left>
      <right/>
      <top style="thin">
        <color theme="1" tint="0.59996337778862885"/>
      </top>
      <bottom style="thin">
        <color theme="1" tint="0.59996337778862885"/>
      </bottom>
      <diagonal/>
    </border>
    <border>
      <left style="medium">
        <color indexed="64"/>
      </left>
      <right/>
      <top style="thin">
        <color theme="1" tint="0.59996337778862885"/>
      </top>
      <bottom style="medium">
        <color indexed="64"/>
      </bottom>
      <diagonal/>
    </border>
    <border>
      <left/>
      <right/>
      <top style="thin">
        <color theme="1" tint="0.59996337778862885"/>
      </top>
      <bottom style="medium">
        <color indexed="64"/>
      </bottom>
      <diagonal/>
    </border>
    <border>
      <left/>
      <right style="thin">
        <color indexed="64"/>
      </right>
      <top/>
      <bottom style="thin">
        <color indexed="64"/>
      </bottom>
      <diagonal/>
    </border>
    <border>
      <left style="hair">
        <color indexed="64"/>
      </left>
      <right/>
      <top style="thin">
        <color indexed="64"/>
      </top>
      <bottom style="thin">
        <color theme="1" tint="0.59996337778862885"/>
      </bottom>
      <diagonal/>
    </border>
    <border>
      <left style="hair">
        <color indexed="64"/>
      </left>
      <right/>
      <top style="thin">
        <color theme="1" tint="0.59996337778862885"/>
      </top>
      <bottom style="thin">
        <color theme="1" tint="0.59996337778862885"/>
      </bottom>
      <diagonal/>
    </border>
    <border>
      <left style="hair">
        <color indexed="64"/>
      </left>
      <right/>
      <top style="thin">
        <color theme="1" tint="0.59996337778862885"/>
      </top>
      <bottom style="medium">
        <color indexed="64"/>
      </bottom>
      <diagonal/>
    </border>
    <border>
      <left/>
      <right/>
      <top style="thin">
        <color indexed="64"/>
      </top>
      <bottom style="thin">
        <color theme="1" tint="0.59996337778862885"/>
      </bottom>
      <diagonal/>
    </border>
    <border>
      <left/>
      <right style="thin">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bottom style="thin">
        <color indexed="64"/>
      </bottom>
      <diagonal/>
    </border>
    <border>
      <left style="medium">
        <color indexed="64"/>
      </left>
      <right style="hair">
        <color indexed="64"/>
      </right>
      <top/>
      <bottom style="medium">
        <color indexed="64"/>
      </bottom>
      <diagonal/>
    </border>
    <border>
      <left/>
      <right style="hair">
        <color indexed="64"/>
      </right>
      <top style="thin">
        <color indexed="64"/>
      </top>
      <bottom style="medium">
        <color indexed="64"/>
      </bottom>
      <diagonal/>
    </border>
    <border>
      <left/>
      <right style="hair">
        <color indexed="64"/>
      </right>
      <top style="thin">
        <color indexed="64"/>
      </top>
      <bottom style="thin">
        <color indexed="64"/>
      </bottom>
      <diagonal/>
    </border>
    <border>
      <left/>
      <right style="hair">
        <color indexed="64"/>
      </right>
      <top style="thin">
        <color indexed="64"/>
      </top>
      <bottom style="thin">
        <color theme="1" tint="0.59996337778862885"/>
      </bottom>
      <diagonal/>
    </border>
    <border>
      <left/>
      <right style="hair">
        <color indexed="64"/>
      </right>
      <top style="thin">
        <color theme="1" tint="0.59996337778862885"/>
      </top>
      <bottom style="thin">
        <color theme="1" tint="0.59996337778862885"/>
      </bottom>
      <diagonal/>
    </border>
    <border>
      <left/>
      <right style="hair">
        <color indexed="64"/>
      </right>
      <top style="thin">
        <color theme="1" tint="0.59996337778862885"/>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indexed="64"/>
      </right>
      <top/>
      <bottom style="thin">
        <color theme="0" tint="-0.499984740745262"/>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medium">
        <color indexed="64"/>
      </right>
      <top style="thin">
        <color theme="0" tint="-0.499984740745262"/>
      </top>
      <bottom style="thin">
        <color theme="0" tint="-0.499984740745262"/>
      </bottom>
      <diagonal/>
    </border>
    <border>
      <left style="medium">
        <color indexed="64"/>
      </left>
      <right/>
      <top style="thin">
        <color theme="0" tint="-0.499984740745262"/>
      </top>
      <bottom style="medium">
        <color indexed="64"/>
      </bottom>
      <diagonal/>
    </border>
    <border>
      <left/>
      <right/>
      <top style="thin">
        <color theme="0" tint="-0.499984740745262"/>
      </top>
      <bottom style="medium">
        <color indexed="64"/>
      </bottom>
      <diagonal/>
    </border>
    <border>
      <left/>
      <right style="medium">
        <color indexed="64"/>
      </right>
      <top style="thin">
        <color theme="0" tint="-0.499984740745262"/>
      </top>
      <bottom style="medium">
        <color indexed="64"/>
      </bottom>
      <diagonal/>
    </border>
    <border>
      <left style="hair">
        <color indexed="64"/>
      </left>
      <right/>
      <top/>
      <bottom style="thin">
        <color theme="0" tint="-0.499984740745262"/>
      </bottom>
      <diagonal/>
    </border>
    <border>
      <left/>
      <right style="hair">
        <color indexed="64"/>
      </right>
      <top/>
      <bottom style="thin">
        <color theme="0" tint="-0.499984740745262"/>
      </bottom>
      <diagonal/>
    </border>
    <border>
      <left style="hair">
        <color indexed="64"/>
      </left>
      <right/>
      <top style="thin">
        <color theme="0" tint="-0.499984740745262"/>
      </top>
      <bottom style="thin">
        <color theme="0" tint="-0.499984740745262"/>
      </bottom>
      <diagonal/>
    </border>
    <border>
      <left/>
      <right style="hair">
        <color indexed="64"/>
      </right>
      <top style="thin">
        <color theme="0" tint="-0.499984740745262"/>
      </top>
      <bottom style="thin">
        <color theme="0" tint="-0.499984740745262"/>
      </bottom>
      <diagonal/>
    </border>
    <border>
      <left style="hair">
        <color indexed="64"/>
      </left>
      <right/>
      <top style="thin">
        <color theme="0" tint="-0.499984740745262"/>
      </top>
      <bottom style="medium">
        <color indexed="64"/>
      </bottom>
      <diagonal/>
    </border>
    <border>
      <left/>
      <right style="hair">
        <color indexed="64"/>
      </right>
      <top style="thin">
        <color theme="0" tint="-0.499984740745262"/>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indexed="64"/>
      </right>
      <top/>
      <bottom style="medium">
        <color indexed="64"/>
      </bottom>
      <diagonal/>
    </border>
    <border>
      <left style="hair">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hair">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hair">
        <color indexed="64"/>
      </right>
      <top style="thin">
        <color indexed="64"/>
      </top>
      <bottom style="thin">
        <color theme="0" tint="-0.499984740745262"/>
      </bottom>
      <diagonal/>
    </border>
    <border>
      <left/>
      <right style="medium">
        <color indexed="64"/>
      </right>
      <top/>
      <bottom style="thin">
        <color theme="1" tint="0.59996337778862885"/>
      </bottom>
      <diagonal/>
    </border>
  </borders>
  <cellStyleXfs count="10">
    <xf numFmtId="0" fontId="0" fillId="0" borderId="0"/>
    <xf numFmtId="0" fontId="2"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3" fillId="0" borderId="0"/>
    <xf numFmtId="0" fontId="1" fillId="0" borderId="0"/>
    <xf numFmtId="44" fontId="1" fillId="0" borderId="0" applyFont="0" applyFill="0" applyBorder="0" applyAlignment="0" applyProtection="0"/>
    <xf numFmtId="9" fontId="1" fillId="0" borderId="0" applyFont="0" applyFill="0" applyBorder="0" applyAlignment="0" applyProtection="0"/>
  </cellStyleXfs>
  <cellXfs count="251">
    <xf numFmtId="0" fontId="0" fillId="0" borderId="0" xfId="0"/>
    <xf numFmtId="0" fontId="2" fillId="0" borderId="0" xfId="1"/>
    <xf numFmtId="0" fontId="2" fillId="0" borderId="0" xfId="1" applyAlignment="1">
      <alignment vertical="center"/>
    </xf>
    <xf numFmtId="0" fontId="6" fillId="0" borderId="0" xfId="1" applyFont="1" applyAlignment="1">
      <alignment vertical="center"/>
    </xf>
    <xf numFmtId="0" fontId="2" fillId="0" borderId="0" xfId="1" applyAlignment="1">
      <alignment vertical="center" wrapText="1"/>
    </xf>
    <xf numFmtId="9" fontId="2" fillId="0" borderId="0" xfId="1" applyNumberFormat="1"/>
    <xf numFmtId="0" fontId="7" fillId="0" borderId="15" xfId="1" applyFont="1" applyBorder="1" applyAlignment="1">
      <alignment horizontal="center" vertical="center"/>
    </xf>
    <xf numFmtId="0" fontId="7" fillId="0" borderId="1" xfId="1" applyFont="1" applyBorder="1" applyAlignment="1">
      <alignment horizontal="center" vertical="center"/>
    </xf>
    <xf numFmtId="9" fontId="7" fillId="0" borderId="1" xfId="1" applyNumberFormat="1" applyFont="1" applyBorder="1" applyAlignment="1">
      <alignment horizontal="center" vertical="center"/>
    </xf>
    <xf numFmtId="0" fontId="2" fillId="0" borderId="1" xfId="1" applyBorder="1"/>
    <xf numFmtId="0" fontId="2" fillId="0" borderId="1" xfId="1" applyBorder="1" applyAlignment="1">
      <alignment horizontal="center" vertical="center"/>
    </xf>
    <xf numFmtId="0" fontId="2" fillId="0" borderId="16" xfId="1" applyBorder="1"/>
    <xf numFmtId="0" fontId="4" fillId="3" borderId="3" xfId="1" applyFont="1" applyFill="1" applyBorder="1" applyAlignment="1">
      <alignment vertical="center"/>
    </xf>
    <xf numFmtId="1" fontId="2" fillId="0" borderId="0" xfId="1" applyNumberFormat="1"/>
    <xf numFmtId="0" fontId="2" fillId="0" borderId="0" xfId="1" applyAlignment="1">
      <alignment horizontal="center" vertical="center"/>
    </xf>
    <xf numFmtId="0" fontId="5" fillId="0" borderId="0" xfId="0" applyFont="1"/>
    <xf numFmtId="0" fontId="10" fillId="0" borderId="7" xfId="1" applyFont="1" applyBorder="1"/>
    <xf numFmtId="0" fontId="10" fillId="7" borderId="7" xfId="1" applyFont="1" applyFill="1" applyBorder="1"/>
    <xf numFmtId="0" fontId="10" fillId="7" borderId="17" xfId="1" applyFont="1" applyFill="1" applyBorder="1"/>
    <xf numFmtId="0" fontId="10" fillId="0" borderId="7" xfId="0" applyFont="1" applyBorder="1"/>
    <xf numFmtId="0" fontId="10" fillId="7" borderId="7" xfId="0" applyFont="1" applyFill="1" applyBorder="1"/>
    <xf numFmtId="0" fontId="10" fillId="0" borderId="9" xfId="0" applyFont="1" applyBorder="1"/>
    <xf numFmtId="0" fontId="10" fillId="7" borderId="9" xfId="0" applyFont="1" applyFill="1" applyBorder="1"/>
    <xf numFmtId="0" fontId="10" fillId="7" borderId="9" xfId="1" applyFont="1" applyFill="1" applyBorder="1"/>
    <xf numFmtId="0" fontId="10" fillId="0" borderId="9" xfId="1" applyFont="1" applyBorder="1"/>
    <xf numFmtId="0" fontId="10" fillId="0" borderId="10" xfId="1" applyFont="1" applyBorder="1"/>
    <xf numFmtId="16" fontId="2" fillId="0" borderId="0" xfId="1" applyNumberFormat="1" applyAlignment="1">
      <alignment vertical="center"/>
    </xf>
    <xf numFmtId="164" fontId="10" fillId="7" borderId="0" xfId="8" applyNumberFormat="1" applyFont="1" applyFill="1"/>
    <xf numFmtId="164" fontId="10" fillId="0" borderId="0" xfId="8" applyNumberFormat="1" applyFont="1"/>
    <xf numFmtId="164" fontId="10" fillId="7" borderId="18" xfId="8" applyNumberFormat="1" applyFont="1" applyFill="1" applyBorder="1"/>
    <xf numFmtId="0" fontId="11" fillId="0" borderId="0" xfId="0" applyFont="1"/>
    <xf numFmtId="0" fontId="5" fillId="0" borderId="20" xfId="0" applyFont="1" applyBorder="1"/>
    <xf numFmtId="9" fontId="2" fillId="0" borderId="0" xfId="9" applyFont="1"/>
    <xf numFmtId="0" fontId="5" fillId="6" borderId="21" xfId="0" applyFont="1" applyFill="1" applyBorder="1" applyAlignment="1">
      <alignment vertical="center"/>
    </xf>
    <xf numFmtId="0" fontId="12" fillId="6" borderId="21" xfId="0" applyFont="1" applyFill="1" applyBorder="1" applyAlignment="1">
      <alignment horizontal="center" vertical="center"/>
    </xf>
    <xf numFmtId="164" fontId="2" fillId="6" borderId="21" xfId="8" applyNumberFormat="1" applyFont="1" applyFill="1" applyBorder="1" applyAlignment="1">
      <alignment vertical="center"/>
    </xf>
    <xf numFmtId="0" fontId="5" fillId="6" borderId="22" xfId="0" applyFont="1" applyFill="1" applyBorder="1" applyAlignment="1">
      <alignment vertical="center"/>
    </xf>
    <xf numFmtId="9" fontId="2" fillId="4" borderId="22" xfId="1" applyNumberFormat="1" applyFill="1" applyBorder="1" applyAlignment="1">
      <alignment vertical="center"/>
    </xf>
    <xf numFmtId="0" fontId="12" fillId="6" borderId="22" xfId="0" applyFont="1" applyFill="1" applyBorder="1" applyAlignment="1">
      <alignment horizontal="center" vertical="center"/>
    </xf>
    <xf numFmtId="0" fontId="5" fillId="4" borderId="22" xfId="0" applyFont="1" applyFill="1" applyBorder="1" applyAlignment="1">
      <alignment vertical="center"/>
    </xf>
    <xf numFmtId="0" fontId="2" fillId="4" borderId="22" xfId="1" applyFill="1" applyBorder="1" applyAlignment="1">
      <alignment vertical="center"/>
    </xf>
    <xf numFmtId="0" fontId="2" fillId="6" borderId="23" xfId="1" applyFill="1" applyBorder="1" applyAlignment="1">
      <alignment vertical="center"/>
    </xf>
    <xf numFmtId="0" fontId="2" fillId="6" borderId="24" xfId="1" applyFill="1" applyBorder="1" applyAlignment="1">
      <alignment vertical="center"/>
    </xf>
    <xf numFmtId="0" fontId="2" fillId="6" borderId="25" xfId="1" applyFill="1" applyBorder="1" applyAlignment="1">
      <alignment vertical="center"/>
    </xf>
    <xf numFmtId="0" fontId="5" fillId="6" borderId="26" xfId="0" applyFont="1" applyFill="1" applyBorder="1" applyAlignment="1">
      <alignment vertical="center"/>
    </xf>
    <xf numFmtId="9" fontId="2" fillId="4" borderId="26" xfId="1" applyNumberFormat="1" applyFill="1" applyBorder="1" applyAlignment="1">
      <alignment vertical="center"/>
    </xf>
    <xf numFmtId="0" fontId="12" fillId="6" borderId="26" xfId="0" applyFont="1" applyFill="1" applyBorder="1" applyAlignment="1">
      <alignment horizontal="center" vertical="center"/>
    </xf>
    <xf numFmtId="0" fontId="2" fillId="4" borderId="26" xfId="1" applyFill="1" applyBorder="1" applyAlignment="1">
      <alignment vertical="center"/>
    </xf>
    <xf numFmtId="0" fontId="13" fillId="2" borderId="8" xfId="1" applyFont="1" applyFill="1" applyBorder="1" applyAlignment="1">
      <alignment horizontal="left" vertical="center"/>
    </xf>
    <xf numFmtId="0" fontId="13" fillId="2" borderId="20" xfId="1" applyFont="1" applyFill="1" applyBorder="1" applyAlignment="1">
      <alignment horizontal="left" vertical="center" wrapText="1"/>
    </xf>
    <xf numFmtId="0" fontId="13" fillId="2" borderId="27" xfId="1" applyFont="1" applyFill="1" applyBorder="1" applyAlignment="1">
      <alignment horizontal="left" vertical="center" wrapText="1"/>
    </xf>
    <xf numFmtId="0" fontId="13" fillId="2" borderId="20" xfId="1" applyFont="1" applyFill="1" applyBorder="1" applyAlignment="1">
      <alignment horizontal="left" vertical="center"/>
    </xf>
    <xf numFmtId="0" fontId="13" fillId="2" borderId="27" xfId="1" applyFont="1" applyFill="1" applyBorder="1" applyAlignment="1">
      <alignment horizontal="left" vertical="center"/>
    </xf>
    <xf numFmtId="0" fontId="5" fillId="4" borderId="29" xfId="0" applyFont="1" applyFill="1" applyBorder="1" applyAlignment="1">
      <alignment vertical="center"/>
    </xf>
    <xf numFmtId="0" fontId="2" fillId="4" borderId="29" xfId="1" applyFill="1" applyBorder="1" applyAlignment="1">
      <alignment vertical="center"/>
    </xf>
    <xf numFmtId="0" fontId="2" fillId="4" borderId="30" xfId="1" applyFill="1" applyBorder="1" applyAlignment="1">
      <alignment vertical="center"/>
    </xf>
    <xf numFmtId="0" fontId="5" fillId="6" borderId="28" xfId="0" applyFont="1" applyFill="1" applyBorder="1" applyAlignment="1">
      <alignment vertical="center"/>
    </xf>
    <xf numFmtId="0" fontId="5" fillId="6" borderId="31" xfId="0" applyFont="1" applyFill="1" applyBorder="1" applyAlignment="1">
      <alignment vertical="center"/>
    </xf>
    <xf numFmtId="0" fontId="5" fillId="6" borderId="29" xfId="0" applyFont="1" applyFill="1" applyBorder="1" applyAlignment="1">
      <alignment vertical="center"/>
    </xf>
    <xf numFmtId="0" fontId="5" fillId="6" borderId="30" xfId="0" applyFont="1" applyFill="1" applyBorder="1" applyAlignment="1">
      <alignment vertical="center"/>
    </xf>
    <xf numFmtId="0" fontId="13" fillId="2" borderId="33" xfId="1" applyFont="1" applyFill="1" applyBorder="1" applyAlignment="1">
      <alignment horizontal="left" vertical="center"/>
    </xf>
    <xf numFmtId="0" fontId="13" fillId="2" borderId="34" xfId="1" applyFont="1" applyFill="1" applyBorder="1" applyAlignment="1">
      <alignment horizontal="left" vertical="center"/>
    </xf>
    <xf numFmtId="0" fontId="2" fillId="8" borderId="35" xfId="1" applyFill="1" applyBorder="1" applyAlignment="1">
      <alignment horizontal="left" vertical="center"/>
    </xf>
    <xf numFmtId="9" fontId="2" fillId="0" borderId="36" xfId="9" applyFont="1" applyBorder="1" applyAlignment="1">
      <alignment horizontal="center" vertical="center"/>
    </xf>
    <xf numFmtId="0" fontId="2" fillId="4" borderId="37" xfId="1" applyFill="1" applyBorder="1"/>
    <xf numFmtId="0" fontId="2" fillId="4" borderId="38" xfId="1" applyFill="1" applyBorder="1"/>
    <xf numFmtId="0" fontId="2" fillId="4" borderId="39" xfId="1" applyFill="1" applyBorder="1"/>
    <xf numFmtId="0" fontId="2" fillId="4" borderId="40" xfId="1" applyFill="1" applyBorder="1"/>
    <xf numFmtId="9" fontId="2" fillId="0" borderId="0" xfId="9" applyFont="1" applyAlignment="1">
      <alignment horizontal="center" vertical="center"/>
    </xf>
    <xf numFmtId="0" fontId="13" fillId="2" borderId="20" xfId="1" applyFont="1" applyFill="1" applyBorder="1" applyAlignment="1">
      <alignment horizontal="center" vertical="center" wrapText="1"/>
    </xf>
    <xf numFmtId="9" fontId="5" fillId="6" borderId="21" xfId="9" applyFont="1" applyFill="1" applyBorder="1" applyAlignment="1">
      <alignment vertical="center"/>
    </xf>
    <xf numFmtId="0" fontId="5" fillId="0" borderId="33" xfId="0" applyFont="1" applyBorder="1" applyAlignment="1">
      <alignment horizontal="left"/>
    </xf>
    <xf numFmtId="0" fontId="5" fillId="0" borderId="34" xfId="0" applyFont="1" applyBorder="1"/>
    <xf numFmtId="0" fontId="5" fillId="0" borderId="43" xfId="0" applyFont="1" applyBorder="1" applyAlignment="1">
      <alignment horizontal="left"/>
    </xf>
    <xf numFmtId="0" fontId="5" fillId="0" borderId="38" xfId="0" applyFont="1" applyBorder="1"/>
    <xf numFmtId="0" fontId="5" fillId="0" borderId="44" xfId="0" applyFont="1" applyBorder="1" applyAlignment="1">
      <alignment horizontal="left"/>
    </xf>
    <xf numFmtId="0" fontId="5" fillId="0" borderId="40" xfId="0" applyFont="1" applyBorder="1"/>
    <xf numFmtId="9" fontId="10" fillId="7" borderId="0" xfId="9" applyFont="1" applyFill="1"/>
    <xf numFmtId="9" fontId="10" fillId="0" borderId="0" xfId="9" applyFont="1"/>
    <xf numFmtId="0" fontId="7" fillId="0" borderId="47" xfId="1" applyFont="1" applyBorder="1"/>
    <xf numFmtId="0" fontId="7" fillId="0" borderId="48" xfId="1" applyFont="1" applyBorder="1" applyAlignment="1">
      <alignment horizontal="center" vertical="center"/>
    </xf>
    <xf numFmtId="0" fontId="7" fillId="0" borderId="49" xfId="1" applyFont="1" applyBorder="1"/>
    <xf numFmtId="0" fontId="7" fillId="0" borderId="50" xfId="1" applyFont="1" applyBorder="1" applyAlignment="1">
      <alignment horizontal="center" vertical="center"/>
    </xf>
    <xf numFmtId="9" fontId="7" fillId="0" borderId="50" xfId="1" applyNumberFormat="1" applyFont="1" applyBorder="1" applyAlignment="1">
      <alignment horizontal="center" vertical="center"/>
    </xf>
    <xf numFmtId="0" fontId="2" fillId="0" borderId="50" xfId="1" applyBorder="1" applyAlignment="1">
      <alignment horizontal="center" vertical="center"/>
    </xf>
    <xf numFmtId="0" fontId="2" fillId="0" borderId="49" xfId="1" applyBorder="1"/>
    <xf numFmtId="0" fontId="2" fillId="0" borderId="50" xfId="1" applyBorder="1"/>
    <xf numFmtId="0" fontId="2" fillId="0" borderId="51" xfId="1" applyBorder="1"/>
    <xf numFmtId="0" fontId="2" fillId="0" borderId="14" xfId="1" applyBorder="1"/>
    <xf numFmtId="9" fontId="10" fillId="7" borderId="18" xfId="9" applyFont="1" applyFill="1" applyBorder="1"/>
    <xf numFmtId="9" fontId="10" fillId="8" borderId="52" xfId="9" applyFont="1" applyFill="1" applyBorder="1"/>
    <xf numFmtId="9" fontId="10" fillId="9" borderId="52" xfId="9" applyFont="1" applyFill="1" applyBorder="1"/>
    <xf numFmtId="0" fontId="5" fillId="0" borderId="19" xfId="0" applyFont="1" applyBorder="1"/>
    <xf numFmtId="0" fontId="5" fillId="0" borderId="33" xfId="0" applyFont="1" applyBorder="1"/>
    <xf numFmtId="0" fontId="5" fillId="0" borderId="44" xfId="0" applyFont="1" applyBorder="1"/>
    <xf numFmtId="164" fontId="5" fillId="0" borderId="40" xfId="8" applyNumberFormat="1" applyFont="1" applyBorder="1"/>
    <xf numFmtId="0" fontId="15" fillId="5" borderId="0" xfId="1" applyFont="1" applyFill="1"/>
    <xf numFmtId="0" fontId="2" fillId="4" borderId="59" xfId="1" applyFill="1" applyBorder="1" applyAlignment="1">
      <alignment vertical="center"/>
    </xf>
    <xf numFmtId="0" fontId="2" fillId="4" borderId="60" xfId="1" applyFill="1" applyBorder="1" applyAlignment="1">
      <alignment vertical="center"/>
    </xf>
    <xf numFmtId="0" fontId="2" fillId="2" borderId="20" xfId="1" applyFill="1" applyBorder="1" applyAlignment="1">
      <alignment vertical="center"/>
    </xf>
    <xf numFmtId="0" fontId="7" fillId="0" borderId="79" xfId="0" applyFont="1" applyBorder="1" applyAlignment="1">
      <alignment vertical="center" wrapText="1"/>
    </xf>
    <xf numFmtId="166" fontId="7" fillId="0" borderId="79" xfId="0" applyNumberFormat="1" applyFont="1" applyBorder="1" applyAlignment="1">
      <alignment horizontal="center" vertical="center"/>
    </xf>
    <xf numFmtId="0" fontId="2" fillId="0" borderId="1" xfId="0" applyFont="1" applyBorder="1" applyAlignment="1">
      <alignment vertical="center" wrapText="1"/>
    </xf>
    <xf numFmtId="9" fontId="10" fillId="7" borderId="81" xfId="9" applyFont="1" applyFill="1" applyBorder="1"/>
    <xf numFmtId="9" fontId="10" fillId="0" borderId="81" xfId="9" applyFont="1" applyBorder="1"/>
    <xf numFmtId="9" fontId="10" fillId="7" borderId="80" xfId="9" applyFont="1" applyFill="1" applyBorder="1"/>
    <xf numFmtId="0" fontId="8" fillId="2" borderId="33" xfId="1" applyFont="1" applyFill="1" applyBorder="1" applyAlignment="1">
      <alignment vertical="center"/>
    </xf>
    <xf numFmtId="0" fontId="8" fillId="2" borderId="20" xfId="1" applyFont="1" applyFill="1" applyBorder="1" applyAlignment="1">
      <alignment vertical="center"/>
    </xf>
    <xf numFmtId="0" fontId="8" fillId="2" borderId="20" xfId="1" applyFont="1" applyFill="1" applyBorder="1" applyAlignment="1">
      <alignment horizontal="center" vertical="center" wrapText="1"/>
    </xf>
    <xf numFmtId="0" fontId="8" fillId="2" borderId="8" xfId="1" applyFont="1" applyFill="1" applyBorder="1" applyAlignment="1">
      <alignment horizontal="center" vertical="center"/>
    </xf>
    <xf numFmtId="0" fontId="8" fillId="2" borderId="20" xfId="1" applyFont="1" applyFill="1" applyBorder="1" applyAlignment="1">
      <alignment horizontal="center" vertical="center"/>
    </xf>
    <xf numFmtId="0" fontId="8" fillId="2" borderId="27" xfId="1" applyFont="1" applyFill="1" applyBorder="1" applyAlignment="1">
      <alignment horizontal="center" vertical="center"/>
    </xf>
    <xf numFmtId="0" fontId="8" fillId="2" borderId="8" xfId="1" applyFont="1" applyFill="1" applyBorder="1" applyAlignment="1">
      <alignment vertical="center" wrapText="1"/>
    </xf>
    <xf numFmtId="0" fontId="8" fillId="2" borderId="34" xfId="1" applyFont="1" applyFill="1" applyBorder="1" applyAlignment="1">
      <alignment vertical="center"/>
    </xf>
    <xf numFmtId="0" fontId="14" fillId="6" borderId="62" xfId="1" applyFont="1" applyFill="1" applyBorder="1" applyAlignment="1">
      <alignment vertical="center"/>
    </xf>
    <xf numFmtId="0" fontId="14" fillId="6" borderId="63" xfId="1" applyFont="1" applyFill="1" applyBorder="1" applyAlignment="1">
      <alignment vertical="center"/>
    </xf>
    <xf numFmtId="0" fontId="14" fillId="6" borderId="63" xfId="1" applyFont="1" applyFill="1" applyBorder="1" applyAlignment="1">
      <alignment horizontal="center" vertical="center"/>
    </xf>
    <xf numFmtId="0" fontId="14" fillId="6" borderId="71" xfId="1" applyFont="1" applyFill="1" applyBorder="1" applyAlignment="1">
      <alignment horizontal="center" vertical="center"/>
    </xf>
    <xf numFmtId="0" fontId="14" fillId="6" borderId="72" xfId="1" applyFont="1" applyFill="1" applyBorder="1" applyAlignment="1">
      <alignment horizontal="center" vertical="center"/>
    </xf>
    <xf numFmtId="164" fontId="14" fillId="6" borderId="71" xfId="8" applyNumberFormat="1" applyFont="1" applyFill="1" applyBorder="1" applyAlignment="1">
      <alignment horizontal="left" vertical="center"/>
    </xf>
    <xf numFmtId="164" fontId="14" fillId="6" borderId="63" xfId="8" applyNumberFormat="1" applyFont="1" applyFill="1" applyBorder="1" applyAlignment="1">
      <alignment horizontal="left" vertical="center"/>
    </xf>
    <xf numFmtId="164" fontId="14" fillId="6" borderId="72" xfId="8" applyNumberFormat="1" applyFont="1" applyFill="1" applyBorder="1" applyAlignment="1">
      <alignment horizontal="left" vertical="center"/>
    </xf>
    <xf numFmtId="0" fontId="14" fillId="6" borderId="64" xfId="1" applyFont="1" applyFill="1" applyBorder="1" applyAlignment="1">
      <alignment vertical="center"/>
    </xf>
    <xf numFmtId="0" fontId="14" fillId="6" borderId="65" xfId="1" applyFont="1" applyFill="1" applyBorder="1" applyAlignment="1">
      <alignment vertical="center"/>
    </xf>
    <xf numFmtId="0" fontId="14" fillId="6" borderId="66" xfId="1" applyFont="1" applyFill="1" applyBorder="1" applyAlignment="1">
      <alignment vertical="center"/>
    </xf>
    <xf numFmtId="0" fontId="14" fillId="6" borderId="66" xfId="1" applyFont="1" applyFill="1" applyBorder="1" applyAlignment="1">
      <alignment horizontal="center" vertical="center"/>
    </xf>
    <xf numFmtId="0" fontId="14" fillId="6" borderId="73" xfId="1" applyFont="1" applyFill="1" applyBorder="1" applyAlignment="1">
      <alignment horizontal="center" vertical="center"/>
    </xf>
    <xf numFmtId="0" fontId="14" fillId="6" borderId="74" xfId="1" applyFont="1" applyFill="1" applyBorder="1" applyAlignment="1">
      <alignment horizontal="center" vertical="center"/>
    </xf>
    <xf numFmtId="164" fontId="14" fillId="6" borderId="73" xfId="8" applyNumberFormat="1" applyFont="1" applyFill="1" applyBorder="1" applyAlignment="1">
      <alignment horizontal="left" vertical="center"/>
    </xf>
    <xf numFmtId="164" fontId="14" fillId="6" borderId="66" xfId="8" applyNumberFormat="1" applyFont="1" applyFill="1" applyBorder="1" applyAlignment="1">
      <alignment horizontal="left" vertical="center"/>
    </xf>
    <xf numFmtId="164" fontId="14" fillId="6" borderId="74" xfId="8" applyNumberFormat="1" applyFont="1" applyFill="1" applyBorder="1" applyAlignment="1">
      <alignment horizontal="left" vertical="center"/>
    </xf>
    <xf numFmtId="0" fontId="14" fillId="6" borderId="67" xfId="1" applyFont="1" applyFill="1" applyBorder="1" applyAlignment="1">
      <alignment vertical="center"/>
    </xf>
    <xf numFmtId="0" fontId="14" fillId="6" borderId="68" xfId="1" applyFont="1" applyFill="1" applyBorder="1" applyAlignment="1">
      <alignment vertical="center"/>
    </xf>
    <xf numFmtId="0" fontId="14" fillId="6" borderId="69" xfId="1" applyFont="1" applyFill="1" applyBorder="1" applyAlignment="1">
      <alignment vertical="center"/>
    </xf>
    <xf numFmtId="0" fontId="14" fillId="6" borderId="69" xfId="1" applyFont="1" applyFill="1" applyBorder="1" applyAlignment="1">
      <alignment horizontal="center" vertical="center"/>
    </xf>
    <xf numFmtId="0" fontId="14" fillId="6" borderId="75" xfId="1" applyFont="1" applyFill="1" applyBorder="1" applyAlignment="1">
      <alignment horizontal="center" vertical="center"/>
    </xf>
    <xf numFmtId="0" fontId="14" fillId="6" borderId="76" xfId="1" applyFont="1" applyFill="1" applyBorder="1" applyAlignment="1">
      <alignment horizontal="center" vertical="center"/>
    </xf>
    <xf numFmtId="164" fontId="14" fillId="6" borderId="75" xfId="8" applyNumberFormat="1" applyFont="1" applyFill="1" applyBorder="1" applyAlignment="1">
      <alignment horizontal="left" vertical="center"/>
    </xf>
    <xf numFmtId="164" fontId="14" fillId="6" borderId="69" xfId="8" applyNumberFormat="1" applyFont="1" applyFill="1" applyBorder="1" applyAlignment="1">
      <alignment horizontal="left" vertical="center"/>
    </xf>
    <xf numFmtId="164" fontId="14" fillId="6" borderId="76" xfId="8" applyNumberFormat="1" applyFont="1" applyFill="1" applyBorder="1" applyAlignment="1">
      <alignment horizontal="left" vertical="center"/>
    </xf>
    <xf numFmtId="0" fontId="14" fillId="6" borderId="70" xfId="1" applyFont="1" applyFill="1" applyBorder="1" applyAlignment="1">
      <alignment vertical="center"/>
    </xf>
    <xf numFmtId="0" fontId="13" fillId="0" borderId="0" xfId="0" applyFont="1"/>
    <xf numFmtId="0" fontId="8" fillId="2" borderId="61" xfId="1" applyFont="1" applyFill="1" applyBorder="1" applyAlignment="1">
      <alignment horizontal="center" vertical="center"/>
    </xf>
    <xf numFmtId="0" fontId="8" fillId="2" borderId="45" xfId="1" applyFont="1" applyFill="1" applyBorder="1" applyAlignment="1">
      <alignment horizontal="center"/>
    </xf>
    <xf numFmtId="0" fontId="8" fillId="2" borderId="46" xfId="1" applyFont="1" applyFill="1" applyBorder="1" applyAlignment="1">
      <alignment horizontal="center"/>
    </xf>
    <xf numFmtId="0" fontId="8" fillId="2" borderId="2" xfId="1" applyFont="1" applyFill="1" applyBorder="1" applyAlignment="1">
      <alignment horizontal="center"/>
    </xf>
    <xf numFmtId="0" fontId="10" fillId="7" borderId="10" xfId="0" applyFont="1" applyFill="1" applyBorder="1"/>
    <xf numFmtId="0" fontId="8" fillId="2" borderId="27" xfId="1" applyFont="1" applyFill="1" applyBorder="1" applyAlignment="1">
      <alignment vertical="center"/>
    </xf>
    <xf numFmtId="0" fontId="2" fillId="2" borderId="82" xfId="1" applyFill="1" applyBorder="1" applyAlignment="1">
      <alignment vertical="center"/>
    </xf>
    <xf numFmtId="0" fontId="9" fillId="5" borderId="83" xfId="1" applyFont="1" applyFill="1" applyBorder="1" applyAlignment="1">
      <alignment horizontal="center" vertical="center"/>
    </xf>
    <xf numFmtId="0" fontId="7" fillId="0" borderId="84" xfId="0" applyFont="1" applyBorder="1" applyAlignment="1">
      <alignment vertical="center" wrapText="1"/>
    </xf>
    <xf numFmtId="0" fontId="2" fillId="0" borderId="82" xfId="0" applyFont="1" applyBorder="1" applyAlignment="1">
      <alignment horizontal="center" vertical="center" wrapText="1"/>
    </xf>
    <xf numFmtId="0" fontId="2" fillId="0" borderId="49" xfId="0" applyFont="1" applyBorder="1" applyAlignment="1">
      <alignment vertical="center" wrapText="1"/>
    </xf>
    <xf numFmtId="0" fontId="2" fillId="0" borderId="51" xfId="0" applyFont="1" applyBorder="1" applyAlignment="1">
      <alignment vertical="center" wrapText="1"/>
    </xf>
    <xf numFmtId="0" fontId="2" fillId="0" borderId="16" xfId="0" applyFont="1" applyBorder="1" applyAlignment="1">
      <alignment vertical="center" wrapText="1"/>
    </xf>
    <xf numFmtId="0" fontId="2" fillId="0" borderId="85" xfId="0" applyFont="1" applyBorder="1" applyAlignment="1">
      <alignment horizontal="center" vertical="center" wrapText="1"/>
    </xf>
    <xf numFmtId="0" fontId="7" fillId="0" borderId="27" xfId="0" applyFont="1" applyBorder="1" applyAlignment="1">
      <alignment vertical="center" wrapText="1"/>
    </xf>
    <xf numFmtId="0" fontId="2" fillId="0" borderId="86" xfId="0" applyFont="1" applyBorder="1" applyAlignment="1">
      <alignment vertical="center" wrapText="1"/>
    </xf>
    <xf numFmtId="0" fontId="2" fillId="0" borderId="87" xfId="0" applyFont="1" applyBorder="1" applyAlignment="1">
      <alignment vertical="center" wrapText="1"/>
    </xf>
    <xf numFmtId="0" fontId="14" fillId="6" borderId="88" xfId="1" applyFont="1" applyFill="1" applyBorder="1" applyAlignment="1">
      <alignment horizontal="center" vertical="center"/>
    </xf>
    <xf numFmtId="0" fontId="14" fillId="6" borderId="89" xfId="1" applyFont="1" applyFill="1" applyBorder="1" applyAlignment="1">
      <alignment horizontal="center" vertical="center"/>
    </xf>
    <xf numFmtId="0" fontId="14" fillId="6" borderId="90" xfId="1" applyFont="1" applyFill="1" applyBorder="1" applyAlignment="1">
      <alignment horizontal="center" vertical="center"/>
    </xf>
    <xf numFmtId="0" fontId="16" fillId="0" borderId="15" xfId="0" applyFont="1" applyBorder="1"/>
    <xf numFmtId="0" fontId="16" fillId="0" borderId="1" xfId="0" applyFont="1" applyBorder="1"/>
    <xf numFmtId="0" fontId="5" fillId="0" borderId="1" xfId="0" applyFont="1" applyBorder="1"/>
    <xf numFmtId="0" fontId="5" fillId="0" borderId="16" xfId="0" applyFont="1" applyBorder="1"/>
    <xf numFmtId="0" fontId="9" fillId="5" borderId="41" xfId="0" applyFont="1" applyFill="1" applyBorder="1" applyAlignment="1">
      <alignment horizontal="center" vertical="center"/>
    </xf>
    <xf numFmtId="0" fontId="9" fillId="5" borderId="12" xfId="1" applyFont="1" applyFill="1" applyBorder="1" applyAlignment="1">
      <alignment horizontal="left" vertical="center" wrapText="1"/>
    </xf>
    <xf numFmtId="0" fontId="9" fillId="5" borderId="12" xfId="1" applyFont="1" applyFill="1" applyBorder="1" applyAlignment="1">
      <alignment horizontal="left" vertical="center"/>
    </xf>
    <xf numFmtId="0" fontId="9" fillId="5" borderId="42" xfId="1" applyFont="1" applyFill="1" applyBorder="1" applyAlignment="1">
      <alignment horizontal="left" vertical="center" wrapText="1"/>
    </xf>
    <xf numFmtId="0" fontId="9" fillId="5" borderId="41"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9" fillId="5" borderId="42" xfId="0" applyFont="1" applyFill="1" applyBorder="1" applyAlignment="1">
      <alignment horizontal="center" vertical="center" wrapText="1"/>
    </xf>
    <xf numFmtId="0" fontId="7" fillId="7" borderId="9" xfId="1" applyFont="1" applyFill="1" applyBorder="1"/>
    <xf numFmtId="0" fontId="7" fillId="0" borderId="9" xfId="0" applyFont="1" applyBorder="1"/>
    <xf numFmtId="0" fontId="7" fillId="7" borderId="9" xfId="0" applyFont="1" applyFill="1" applyBorder="1"/>
    <xf numFmtId="9" fontId="7" fillId="7" borderId="7" xfId="9" applyFont="1" applyFill="1" applyBorder="1"/>
    <xf numFmtId="164" fontId="7" fillId="7" borderId="0" xfId="8" applyNumberFormat="1" applyFont="1" applyFill="1"/>
    <xf numFmtId="9" fontId="7" fillId="7" borderId="0" xfId="9" applyFont="1" applyFill="1"/>
    <xf numFmtId="0" fontId="7" fillId="0" borderId="7" xfId="1" applyFont="1" applyBorder="1"/>
    <xf numFmtId="164" fontId="7" fillId="0" borderId="0" xfId="8" applyNumberFormat="1" applyFont="1"/>
    <xf numFmtId="9" fontId="7" fillId="0" borderId="0" xfId="9" applyFont="1"/>
    <xf numFmtId="0" fontId="7" fillId="7" borderId="7" xfId="1" applyFont="1" applyFill="1" applyBorder="1"/>
    <xf numFmtId="0" fontId="7" fillId="0" borderId="7" xfId="0" applyFont="1" applyBorder="1"/>
    <xf numFmtId="9" fontId="7" fillId="7" borderId="81" xfId="9" applyFont="1" applyFill="1" applyBorder="1"/>
    <xf numFmtId="9" fontId="7" fillId="0" borderId="81" xfId="9" applyFont="1" applyBorder="1"/>
    <xf numFmtId="0" fontId="7" fillId="0" borderId="0" xfId="1" applyFont="1"/>
    <xf numFmtId="14" fontId="7" fillId="0" borderId="0" xfId="1" applyNumberFormat="1" applyFont="1"/>
    <xf numFmtId="0" fontId="7" fillId="4" borderId="20" xfId="1" applyFont="1" applyFill="1" applyBorder="1"/>
    <xf numFmtId="0" fontId="7" fillId="4" borderId="37" xfId="1" applyFont="1" applyFill="1" applyBorder="1"/>
    <xf numFmtId="0" fontId="7" fillId="4" borderId="34" xfId="1" applyFont="1" applyFill="1" applyBorder="1"/>
    <xf numFmtId="0" fontId="7" fillId="4" borderId="38" xfId="1" applyFont="1" applyFill="1" applyBorder="1"/>
    <xf numFmtId="9" fontId="7" fillId="4" borderId="21" xfId="1" applyNumberFormat="1" applyFont="1" applyFill="1" applyBorder="1" applyAlignment="1">
      <alignment vertical="center"/>
    </xf>
    <xf numFmtId="9" fontId="7" fillId="4" borderId="22" xfId="1" applyNumberFormat="1" applyFont="1" applyFill="1" applyBorder="1" applyAlignment="1">
      <alignment vertical="center"/>
    </xf>
    <xf numFmtId="0" fontId="16" fillId="4" borderId="28" xfId="0" applyFont="1" applyFill="1" applyBorder="1" applyAlignment="1">
      <alignment vertical="center"/>
    </xf>
    <xf numFmtId="0" fontId="16" fillId="4" borderId="21" xfId="0" applyFont="1" applyFill="1" applyBorder="1" applyAlignment="1">
      <alignment vertical="center"/>
    </xf>
    <xf numFmtId="0" fontId="16" fillId="4" borderId="29" xfId="0" applyFont="1" applyFill="1" applyBorder="1" applyAlignment="1">
      <alignment vertical="center"/>
    </xf>
    <xf numFmtId="0" fontId="16" fillId="4" borderId="22" xfId="0" applyFont="1" applyFill="1" applyBorder="1" applyAlignment="1">
      <alignment vertical="center"/>
    </xf>
    <xf numFmtId="0" fontId="7" fillId="4" borderId="58" xfId="1" applyFont="1" applyFill="1" applyBorder="1" applyAlignment="1">
      <alignment vertical="center"/>
    </xf>
    <xf numFmtId="0" fontId="7" fillId="4" borderId="59" xfId="1" applyFont="1" applyFill="1" applyBorder="1" applyAlignment="1">
      <alignment vertical="center"/>
    </xf>
    <xf numFmtId="164" fontId="2" fillId="6" borderId="91" xfId="8" applyNumberFormat="1" applyFont="1" applyFill="1" applyBorder="1" applyAlignment="1">
      <alignment vertical="center"/>
    </xf>
    <xf numFmtId="9" fontId="5" fillId="6" borderId="18" xfId="9" applyFont="1" applyFill="1" applyBorder="1" applyAlignment="1">
      <alignment vertical="center"/>
    </xf>
    <xf numFmtId="164" fontId="2" fillId="6" borderId="18" xfId="8" applyNumberFormat="1" applyFont="1" applyFill="1" applyBorder="1" applyAlignment="1">
      <alignment vertical="center"/>
    </xf>
    <xf numFmtId="164" fontId="2" fillId="6" borderId="19" xfId="8" applyNumberFormat="1" applyFont="1" applyFill="1" applyBorder="1" applyAlignment="1">
      <alignment vertical="center"/>
    </xf>
    <xf numFmtId="165" fontId="10" fillId="6" borderId="53" xfId="0" applyNumberFormat="1" applyFont="1" applyFill="1" applyBorder="1"/>
    <xf numFmtId="0" fontId="10" fillId="4" borderId="57" xfId="0" applyFont="1" applyFill="1" applyBorder="1"/>
    <xf numFmtId="165" fontId="10" fillId="6" borderId="54" xfId="0" applyNumberFormat="1" applyFont="1" applyFill="1" applyBorder="1"/>
    <xf numFmtId="0" fontId="7" fillId="4" borderId="57" xfId="0" applyFont="1" applyFill="1" applyBorder="1"/>
    <xf numFmtId="0" fontId="7" fillId="4" borderId="57" xfId="1" applyFont="1" applyFill="1" applyBorder="1"/>
    <xf numFmtId="165" fontId="10" fillId="6" borderId="55" xfId="0" applyNumberFormat="1" applyFont="1" applyFill="1" applyBorder="1"/>
    <xf numFmtId="0" fontId="10" fillId="4" borderId="56" xfId="0" applyFont="1" applyFill="1" applyBorder="1"/>
    <xf numFmtId="165" fontId="10" fillId="0" borderId="0" xfId="0" applyNumberFormat="1" applyFont="1"/>
    <xf numFmtId="0" fontId="10" fillId="0" borderId="0" xfId="0" applyFont="1"/>
    <xf numFmtId="0" fontId="4" fillId="3" borderId="0" xfId="1" applyFont="1" applyFill="1" applyAlignment="1">
      <alignment vertical="center"/>
    </xf>
    <xf numFmtId="0" fontId="18" fillId="0" borderId="0" xfId="0" pivotButton="1" applyFont="1"/>
    <xf numFmtId="0" fontId="18" fillId="0" borderId="0" xfId="0" applyFont="1"/>
    <xf numFmtId="0" fontId="18" fillId="0" borderId="0" xfId="0" applyFont="1" applyAlignment="1">
      <alignment horizontal="left"/>
    </xf>
    <xf numFmtId="164" fontId="18" fillId="0" borderId="0" xfId="0" applyNumberFormat="1" applyFont="1"/>
    <xf numFmtId="1" fontId="18" fillId="0" borderId="0" xfId="0" applyNumberFormat="1" applyFont="1"/>
    <xf numFmtId="0" fontId="19" fillId="2" borderId="0" xfId="0" applyFont="1" applyFill="1"/>
    <xf numFmtId="0" fontId="19" fillId="2" borderId="0" xfId="0" applyFont="1" applyFill="1" applyAlignment="1">
      <alignment vertical="center"/>
    </xf>
    <xf numFmtId="0" fontId="19" fillId="2" borderId="0" xfId="0" applyFont="1" applyFill="1" applyAlignment="1">
      <alignment horizontal="left" wrapText="1"/>
    </xf>
    <xf numFmtId="0" fontId="18" fillId="0" borderId="0" xfId="0" applyNumberFormat="1" applyFont="1"/>
    <xf numFmtId="0" fontId="19" fillId="2" borderId="0" xfId="0" applyFont="1" applyFill="1" applyAlignment="1"/>
    <xf numFmtId="0" fontId="2" fillId="6" borderId="0" xfId="1" applyFont="1" applyFill="1" applyAlignment="1">
      <alignment vertical="center" wrapText="1"/>
    </xf>
    <xf numFmtId="0" fontId="9" fillId="5" borderId="77" xfId="1" applyFont="1" applyFill="1" applyBorder="1" applyAlignment="1">
      <alignment horizontal="center" vertical="center" wrapText="1"/>
    </xf>
    <xf numFmtId="0" fontId="9" fillId="5" borderId="78" xfId="1" applyFont="1" applyFill="1" applyBorder="1" applyAlignment="1">
      <alignment horizontal="center" vertical="center" wrapText="1"/>
    </xf>
    <xf numFmtId="0" fontId="9" fillId="5" borderId="11" xfId="1" applyFont="1" applyFill="1" applyBorder="1" applyAlignment="1">
      <alignment horizontal="center" vertical="center"/>
    </xf>
    <xf numFmtId="0" fontId="9" fillId="5" borderId="12" xfId="1" applyFont="1" applyFill="1" applyBorder="1" applyAlignment="1">
      <alignment horizontal="center" vertical="center"/>
    </xf>
    <xf numFmtId="0" fontId="9" fillId="5" borderId="42" xfId="1" applyFont="1" applyFill="1" applyBorder="1" applyAlignment="1">
      <alignment horizontal="center" vertical="center"/>
    </xf>
    <xf numFmtId="0" fontId="9" fillId="5" borderId="13" xfId="1" applyFont="1" applyFill="1" applyBorder="1" applyAlignment="1">
      <alignment horizontal="center" vertical="center"/>
    </xf>
    <xf numFmtId="0" fontId="9" fillId="5" borderId="5" xfId="1" applyFont="1" applyFill="1" applyBorder="1" applyAlignment="1">
      <alignment horizontal="center" vertical="center"/>
    </xf>
    <xf numFmtId="0" fontId="2" fillId="0" borderId="0" xfId="1" applyFont="1" applyBorder="1" applyAlignment="1">
      <alignment horizontal="left" vertical="center" wrapText="1"/>
    </xf>
    <xf numFmtId="0" fontId="9" fillId="5" borderId="4" xfId="1" applyFont="1" applyFill="1" applyBorder="1" applyAlignment="1">
      <alignment horizontal="center" vertical="center"/>
    </xf>
    <xf numFmtId="0" fontId="9" fillId="5" borderId="32" xfId="1" applyFont="1" applyFill="1" applyBorder="1" applyAlignment="1">
      <alignment horizontal="center" vertical="center"/>
    </xf>
    <xf numFmtId="0" fontId="13" fillId="2" borderId="5" xfId="1" applyFont="1" applyFill="1" applyBorder="1" applyAlignment="1">
      <alignment horizontal="center" vertical="center"/>
    </xf>
    <xf numFmtId="0" fontId="4" fillId="3" borderId="0" xfId="1" applyFont="1" applyFill="1" applyAlignment="1">
      <alignment horizontal="left" vertical="center"/>
    </xf>
    <xf numFmtId="0" fontId="2" fillId="0" borderId="0" xfId="1" applyFont="1" applyAlignment="1">
      <alignment horizontal="left" vertical="center" wrapText="1"/>
    </xf>
    <xf numFmtId="0" fontId="4" fillId="3" borderId="0" xfId="1" applyFont="1" applyFill="1" applyAlignment="1">
      <alignment vertical="center"/>
    </xf>
    <xf numFmtId="0" fontId="11" fillId="2" borderId="4"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4" xfId="0" applyFont="1" applyFill="1" applyBorder="1" applyAlignment="1">
      <alignment horizontal="center"/>
    </xf>
    <xf numFmtId="0" fontId="11" fillId="2" borderId="6" xfId="0" applyFont="1" applyFill="1" applyBorder="1" applyAlignment="1">
      <alignment horizontal="center"/>
    </xf>
    <xf numFmtId="0" fontId="10" fillId="0" borderId="0" xfId="0" applyFont="1" applyAlignment="1">
      <alignment horizontal="left" vertical="center" wrapText="1"/>
    </xf>
    <xf numFmtId="0" fontId="2" fillId="0" borderId="0" xfId="1" applyFont="1" applyAlignment="1">
      <alignment horizontal="left" vertical="center"/>
    </xf>
    <xf numFmtId="0" fontId="2" fillId="0" borderId="0" xfId="1" applyAlignment="1">
      <alignment horizontal="left" vertical="center"/>
    </xf>
    <xf numFmtId="0" fontId="9" fillId="5" borderId="13" xfId="1" applyFont="1" applyFill="1" applyBorder="1" applyAlignment="1">
      <alignment horizontal="center" vertical="center" wrapText="1"/>
    </xf>
    <xf numFmtId="0" fontId="9" fillId="5" borderId="5" xfId="1" applyFont="1" applyFill="1" applyBorder="1" applyAlignment="1">
      <alignment horizontal="center" vertical="center" wrapText="1"/>
    </xf>
    <xf numFmtId="0" fontId="9" fillId="5" borderId="32" xfId="1" applyFont="1" applyFill="1" applyBorder="1" applyAlignment="1">
      <alignment horizontal="center" vertical="center" wrapText="1"/>
    </xf>
    <xf numFmtId="0" fontId="9" fillId="5" borderId="6" xfId="1" applyFont="1" applyFill="1" applyBorder="1" applyAlignment="1">
      <alignment horizontal="center" vertical="center"/>
    </xf>
    <xf numFmtId="0" fontId="5" fillId="0" borderId="0" xfId="0" applyFont="1" applyAlignment="1">
      <alignment horizontal="center"/>
    </xf>
  </cellXfs>
  <cellStyles count="10">
    <cellStyle name="Currency" xfId="8" builtinId="4"/>
    <cellStyle name="Normal" xfId="0" builtinId="0"/>
    <cellStyle name="Normal 2" xfId="1" xr:uid="{00000000-0005-0000-0000-000002000000}"/>
    <cellStyle name="Normal 2 2" xfId="2" xr:uid="{00000000-0005-0000-0000-000003000000}"/>
    <cellStyle name="Normal 2 3" xfId="7" xr:uid="{00000000-0005-0000-0000-000004000000}"/>
    <cellStyle name="Normal 3" xfId="3" xr:uid="{00000000-0005-0000-0000-000005000000}"/>
    <cellStyle name="Normal 4" xfId="6" xr:uid="{00000000-0005-0000-0000-000006000000}"/>
    <cellStyle name="Percent" xfId="9" builtinId="5"/>
    <cellStyle name="Percent 2" xfId="5" xr:uid="{00000000-0005-0000-0000-000008000000}"/>
    <cellStyle name="Percent 3" xfId="4" xr:uid="{00000000-0005-0000-0000-000009000000}"/>
  </cellStyles>
  <dxfs count="147">
    <dxf>
      <font>
        <name val="Arial"/>
      </font>
    </dxf>
    <dxf>
      <font>
        <name val="Arial"/>
      </font>
    </dxf>
    <dxf>
      <font>
        <name val="Arial"/>
      </font>
    </dxf>
    <dxf>
      <font>
        <name val="Arial"/>
      </font>
    </dxf>
    <dxf>
      <font>
        <name val="Arial"/>
      </font>
    </dxf>
    <dxf>
      <numFmt numFmtId="34" formatCode="_-&quot;$&quot;* #,##0.00_-;\-&quot;$&quot;* #,##0.00_-;_-&quot;$&quot;* &quot;-&quot;??_-;_-@_-"/>
    </dxf>
    <dxf>
      <numFmt numFmtId="164" formatCode="_-&quot;$&quot;* #,##0_-;\-&quot;$&quot;* #,##0_-;_-&quot;$&quot;* &quot;-&quot;??_-;_-@_-"/>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1" formatCode="0"/>
    </dxf>
    <dxf>
      <alignment wrapText="1" readingOrder="0"/>
    </dxf>
    <dxf>
      <alignment horizontal="left" readingOrder="0"/>
    </dxf>
    <dxf>
      <numFmt numFmtId="34" formatCode="_-&quot;$&quot;* #,##0.00_-;\-&quot;$&quot;* #,##0.00_-;_-&quot;$&quot;* &quot;-&quot;??_-;_-@_-"/>
    </dxf>
    <dxf>
      <numFmt numFmtId="164" formatCode="_-&quot;$&quot;* #,##0_-;\-&quot;$&quot;* #,##0_-;_-&quot;$&quot;* &quot;-&quot;??_-;_-@_-"/>
    </dxf>
    <dxf>
      <alignment vertical="center" readingOrder="0"/>
    </dxf>
    <dxf>
      <alignment vertical="bottom" readingOrder="0"/>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theme="6"/>
        </patternFill>
      </fill>
    </dxf>
    <dxf>
      <fill>
        <patternFill patternType="solid">
          <bgColor theme="6"/>
        </patternFill>
      </fill>
    </dxf>
    <dxf>
      <font>
        <b/>
      </font>
    </dxf>
    <dxf>
      <font>
        <b/>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34" formatCode="_-&quot;$&quot;* #,##0.00_-;\-&quot;$&quot;* #,##0.00_-;_-&quot;$&quot;* &quot;-&quot;??_-;_-@_-"/>
    </dxf>
    <dxf>
      <numFmt numFmtId="164" formatCode="_-&quot;$&quot;* #,##0_-;\-&quot;$&quot;* #,##0_-;_-&quot;$&quot;* &quot;-&quot;??_-;_-@_-"/>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164" formatCode="_-&quot;$&quot;* #,##0_-;\-&quot;$&quot;* #,##0_-;_-&quot;$&quot;* &quot;-&quot;??_-;_-@_-"/>
    </dxf>
    <dxf>
      <numFmt numFmtId="34" formatCode="_-&quot;$&quot;* #,##0.00_-;\-&quot;$&quot;* #,##0.00_-;_-&quot;$&quot;* &quot;-&quot;??_-;_-@_-"/>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b/>
      </font>
    </dxf>
    <dxf>
      <font>
        <b/>
      </font>
    </dxf>
    <dxf>
      <fill>
        <patternFill patternType="solid">
          <bgColor theme="6"/>
        </patternFill>
      </fill>
    </dxf>
    <dxf>
      <fill>
        <patternFill patternType="solid">
          <bgColor theme="6"/>
        </patternFill>
      </fill>
    </dxf>
    <dxf>
      <font>
        <name val="Arial"/>
        <scheme val="none"/>
      </font>
    </dxf>
    <dxf>
      <font>
        <name val="Arial"/>
        <scheme val="none"/>
      </font>
    </dxf>
    <dxf>
      <font>
        <name val="Arial"/>
        <scheme val="none"/>
      </font>
    </dxf>
    <dxf>
      <font>
        <name val="Arial"/>
        <scheme val="none"/>
      </font>
    </dxf>
    <dxf>
      <font>
        <name val="Arial"/>
        <scheme val="none"/>
      </font>
    </dxf>
    <dxf>
      <alignment vertical="bottom" readingOrder="0"/>
    </dxf>
    <dxf>
      <alignment vertical="center" readingOrder="0"/>
    </dxf>
    <dxf>
      <numFmt numFmtId="164" formatCode="_-&quot;$&quot;* #,##0_-;\-&quot;$&quot;* #,##0_-;_-&quot;$&quot;* &quot;-&quot;??_-;_-@_-"/>
    </dxf>
    <dxf>
      <numFmt numFmtId="34" formatCode="_-&quot;$&quot;* #,##0.00_-;\-&quot;$&quot;* #,##0.00_-;_-&quot;$&quot;* &quot;-&quot;??_-;_-@_-"/>
    </dxf>
    <dxf>
      <alignment horizontal="left" readingOrder="0"/>
    </dxf>
    <dxf>
      <alignment wrapText="1" readingOrder="0"/>
    </dxf>
    <dxf>
      <numFmt numFmtId="1" formatCode="0"/>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font>
        <name val="Arial"/>
      </font>
    </dxf>
    <dxf>
      <numFmt numFmtId="164" formatCode="_-&quot;$&quot;* #,##0_-;\-&quot;$&quot;* #,##0_-;_-&quot;$&quot;* &quot;-&quot;??_-;_-@_-"/>
    </dxf>
    <dxf>
      <numFmt numFmtId="34" formatCode="_-&quot;$&quot;* #,##0.00_-;\-&quot;$&quot;* #,##0.00_-;_-&quot;$&quot;* &quot;-&quot;??_-;_-@_-"/>
    </dxf>
    <dxf>
      <font>
        <name val="Arial"/>
      </font>
    </dxf>
    <dxf>
      <font>
        <name val="Arial"/>
      </font>
    </dxf>
    <dxf>
      <font>
        <name val="Arial"/>
      </font>
    </dxf>
    <dxf>
      <font>
        <name val="Arial"/>
      </font>
    </dxf>
    <dxf>
      <font>
        <name val="Arial"/>
      </font>
    </dxf>
    <dxf>
      <fill>
        <patternFill>
          <bgColor theme="8" tint="0.39994506668294322"/>
        </patternFill>
      </fill>
    </dxf>
    <dxf>
      <fill>
        <patternFill>
          <bgColor theme="7" tint="-0.499984740745262"/>
        </patternFill>
      </fill>
    </dxf>
    <dxf>
      <fill>
        <patternFill>
          <bgColor theme="9" tint="0.39994506668294322"/>
        </patternFill>
      </fill>
    </dxf>
    <dxf>
      <fill>
        <patternFill>
          <bgColor theme="9" tint="0.39994506668294322"/>
        </patternFill>
      </fill>
    </dxf>
    <dxf>
      <fill>
        <patternFill>
          <bgColor theme="7"/>
        </patternFill>
      </fill>
    </dxf>
    <dxf>
      <fill>
        <patternFill>
          <bgColor theme="0" tint="-0.499984740745262"/>
        </patternFill>
      </fil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dxf>
    <dxf>
      <font>
        <b val="0"/>
        <i val="0"/>
        <strike val="0"/>
        <condense val="0"/>
        <extend val="0"/>
        <outline val="0"/>
        <shadow val="0"/>
        <u val="none"/>
        <vertAlign val="baseline"/>
        <sz val="10"/>
        <color auto="1"/>
        <name val="Arial"/>
        <scheme val="none"/>
      </font>
      <numFmt numFmtId="1" formatCode="0"/>
    </dxf>
    <dxf>
      <font>
        <b val="0"/>
        <i val="0"/>
        <strike val="0"/>
        <condense val="0"/>
        <extend val="0"/>
        <outline val="0"/>
        <shadow val="0"/>
        <u val="none"/>
        <vertAlign val="baseline"/>
        <sz val="10"/>
        <color theme="0" tint="-0.499984740745262"/>
        <name val="Arial"/>
        <scheme val="none"/>
      </font>
    </dxf>
    <dxf>
      <font>
        <b val="0"/>
        <i val="0"/>
        <strike val="0"/>
        <condense val="0"/>
        <extend val="0"/>
        <outline val="0"/>
        <shadow val="0"/>
        <u val="none"/>
        <vertAlign val="baseline"/>
        <sz val="10"/>
        <color theme="0" tint="-0.499984740745262"/>
        <name val="Arial"/>
        <scheme val="none"/>
      </font>
    </dxf>
    <dxf>
      <font>
        <b val="0"/>
        <i val="0"/>
        <strike val="0"/>
        <condense val="0"/>
        <extend val="0"/>
        <outline val="0"/>
        <shadow val="0"/>
        <u val="none"/>
        <vertAlign val="baseline"/>
        <sz val="10"/>
        <color theme="0" tint="-0.499984740745262"/>
        <name val="Arial"/>
        <scheme val="none"/>
      </font>
      <numFmt numFmtId="19" formatCode="m/dd/yy"/>
    </dxf>
    <dxf>
      <font>
        <b val="0"/>
        <i val="0"/>
        <strike val="0"/>
        <condense val="0"/>
        <extend val="0"/>
        <outline val="0"/>
        <shadow val="0"/>
        <u val="none"/>
        <vertAlign val="baseline"/>
        <sz val="10"/>
        <color theme="0" tint="-0.499984740745262"/>
        <name val="Arial"/>
        <scheme val="none"/>
      </font>
      <numFmt numFmtId="19" formatCode="m/dd/yy"/>
      <fill>
        <patternFill patternType="none">
          <fgColor indexed="64"/>
          <bgColor indexed="65"/>
        </patternFill>
      </fill>
    </dxf>
    <dxf>
      <font>
        <b val="0"/>
        <i val="0"/>
        <strike val="0"/>
        <condense val="0"/>
        <extend val="0"/>
        <outline val="0"/>
        <shadow val="0"/>
        <u val="none"/>
        <vertAlign val="baseline"/>
        <sz val="10"/>
        <color theme="0" tint="-0.499984740745262"/>
        <name val="Arial"/>
        <scheme val="none"/>
      </font>
      <numFmt numFmtId="19" formatCode="m/dd/yy"/>
    </dxf>
    <dxf>
      <font>
        <b val="0"/>
        <i val="0"/>
        <strike val="0"/>
        <condense val="0"/>
        <extend val="0"/>
        <outline val="0"/>
        <shadow val="0"/>
        <u val="none"/>
        <vertAlign val="baseline"/>
        <sz val="10"/>
        <color theme="0" tint="-0.499984740745262"/>
        <name val="Arial"/>
        <scheme val="none"/>
      </font>
    </dxf>
    <dxf>
      <font>
        <b val="0"/>
        <i val="0"/>
        <strike val="0"/>
        <condense val="0"/>
        <extend val="0"/>
        <outline val="0"/>
        <shadow val="0"/>
        <u val="none"/>
        <vertAlign val="baseline"/>
        <sz val="10"/>
        <color theme="0" tint="-0.499984740745262"/>
        <name val="Arial"/>
        <scheme val="none"/>
      </font>
    </dxf>
    <dxf>
      <font>
        <b val="0"/>
        <i val="0"/>
        <strike val="0"/>
        <condense val="0"/>
        <extend val="0"/>
        <outline val="0"/>
        <shadow val="0"/>
        <u val="none"/>
        <vertAlign val="baseline"/>
        <sz val="10"/>
        <color theme="0" tint="-0.499984740745262"/>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5"/>
        </patternFill>
      </fill>
    </dxf>
  </dxfs>
  <tableStyles count="1" defaultTableStyle="TableStyleMedium9" defaultPivotStyle="PivotTable Style 1">
    <tableStyle name="PivotTable Style 1" table="0" count="1" xr9:uid="{00000000-0011-0000-FFFF-FFFF00000000}">
      <tableStyleElement type="headerRow" dxfId="146"/>
    </tableStyle>
  </tableStyles>
  <colors>
    <mruColors>
      <color rgb="FF345978"/>
      <color rgb="FF3E6A8E"/>
      <color rgb="FF4577A1"/>
      <color rgb="FFB1C9DD"/>
      <color rgb="FF8AAECC"/>
      <color rgb="FF894E8C"/>
      <color rgb="FFB784BA"/>
      <color rgb="FFD9BCDA"/>
      <color rgb="FFECDFED"/>
      <color rgb="FF43C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[it-Workforce-Planning-Tool.xlsm]Hidden-Dashboard1!Diversity</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chemeClr val="tx1"/>
                </a:solidFill>
                <a:latin typeface="Arial" panose="020B0604020202020204" pitchFamily="34" charset="0"/>
                <a:cs typeface="Arial" panose="020B0604020202020204" pitchFamily="34" charset="0"/>
              </a:rPr>
              <a:t>Diversity Breakdown</a:t>
            </a:r>
          </a:p>
        </c:rich>
      </c:tx>
      <c:layout>
        <c:manualLayout>
          <c:xMode val="edge"/>
          <c:yMode val="edge"/>
          <c:x val="0.31294948271326223"/>
          <c:y val="3.70371128554657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2">
              <a:shade val="65000"/>
            </a:schemeClr>
          </a:solidFill>
          <a:ln w="19050">
            <a:solidFill>
              <a:schemeClr val="bg1"/>
            </a:solidFill>
          </a:ln>
          <a:effectLst/>
        </c:spPr>
      </c:pivotFmt>
      <c:pivotFmt>
        <c:idx val="9"/>
        <c:spPr>
          <a:solidFill>
            <a:schemeClr val="accent2"/>
          </a:solidFill>
          <a:ln w="19050">
            <a:solidFill>
              <a:schemeClr val="bg1"/>
            </a:solidFill>
          </a:ln>
          <a:effectLst/>
        </c:spPr>
      </c:pivotFmt>
      <c:pivotFmt>
        <c:idx val="10"/>
        <c:spPr>
          <a:solidFill>
            <a:schemeClr val="accent2">
              <a:tint val="65000"/>
            </a:schemeClr>
          </a:solidFill>
          <a:ln w="19050">
            <a:solidFill>
              <a:schemeClr val="bg1"/>
            </a:solidFill>
          </a:ln>
          <a:effectLst/>
        </c:spPr>
      </c:pivotFmt>
    </c:pivotFmts>
    <c:plotArea>
      <c:layout/>
      <c:pieChart>
        <c:varyColors val="1"/>
        <c:ser>
          <c:idx val="0"/>
          <c:order val="0"/>
          <c:tx>
            <c:strRef>
              <c:f>'Hidden-Dashboard1'!$C$5</c:f>
              <c:strCache>
                <c:ptCount val="1"/>
                <c:pt idx="0">
                  <c:v>Total</c:v>
                </c:pt>
              </c:strCache>
            </c:strRef>
          </c:tx>
          <c:spPr>
            <a:ln w="19050">
              <a:solidFill>
                <a:schemeClr val="bg1"/>
              </a:solidFill>
            </a:ln>
          </c:spPr>
          <c:dPt>
            <c:idx val="0"/>
            <c:bubble3D val="0"/>
            <c:spPr>
              <a:solidFill>
                <a:schemeClr val="accent2">
                  <a:shade val="65000"/>
                </a:schemeClr>
              </a:solidFill>
              <a:ln w="19050">
                <a:solidFill>
                  <a:schemeClr val="bg1"/>
                </a:solidFill>
              </a:ln>
              <a:effectLst/>
            </c:spPr>
            <c:extLst>
              <c:ext xmlns:c16="http://schemas.microsoft.com/office/drawing/2014/chart" uri="{C3380CC4-5D6E-409C-BE32-E72D297353CC}">
                <c16:uniqueId val="{00000001-E447-4314-B77D-32B1C85596C5}"/>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E447-4314-B77D-32B1C85596C5}"/>
              </c:ext>
            </c:extLst>
          </c:dPt>
          <c:dPt>
            <c:idx val="2"/>
            <c:bubble3D val="0"/>
            <c:spPr>
              <a:solidFill>
                <a:schemeClr val="accent2">
                  <a:tint val="65000"/>
                </a:schemeClr>
              </a:solidFill>
              <a:ln w="19050">
                <a:solidFill>
                  <a:schemeClr val="bg1"/>
                </a:solidFill>
              </a:ln>
              <a:effectLst/>
            </c:spPr>
            <c:extLst>
              <c:ext xmlns:c16="http://schemas.microsoft.com/office/drawing/2014/chart" uri="{C3380CC4-5D6E-409C-BE32-E72D297353CC}">
                <c16:uniqueId val="{00000005-E447-4314-B77D-32B1C85596C5}"/>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'Hidden-Dashboard1'!$B$6:$B$8</c:f>
              <c:strCache>
                <c:ptCount val="3"/>
                <c:pt idx="0">
                  <c:v>African American</c:v>
                </c:pt>
                <c:pt idx="1">
                  <c:v>Asian</c:v>
                </c:pt>
                <c:pt idx="2">
                  <c:v>European American</c:v>
                </c:pt>
              </c:strCache>
            </c:strRef>
          </c:cat>
          <c:val>
            <c:numRef>
              <c:f>'Hidden-Dashboard1'!$C$6:$C$8</c:f>
              <c:numCache>
                <c:formatCode>General</c:formatCode>
                <c:ptCount val="3"/>
                <c:pt idx="0">
                  <c:v>7</c:v>
                </c:pt>
                <c:pt idx="1">
                  <c:v>25</c:v>
                </c:pt>
                <c:pt idx="2">
                  <c:v>30</c:v>
                </c:pt>
              </c:numCache>
            </c:numRef>
          </c:val>
          <c:extLst>
            <c:ext xmlns:c16="http://schemas.microsoft.com/office/drawing/2014/chart" uri="{C3380CC4-5D6E-409C-BE32-E72D297353CC}">
              <c16:uniqueId val="{00000006-E447-4314-B77D-32B1C85596C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[it-Workforce-Planning-Tool.xlsm]Hidden-Dashboard1!Gender</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100" b="1">
                <a:solidFill>
                  <a:schemeClr val="tx1"/>
                </a:solidFill>
                <a:latin typeface="Arial" panose="020B0604020202020204" pitchFamily="34" charset="0"/>
                <a:cs typeface="Arial" panose="020B0604020202020204" pitchFamily="34" charset="0"/>
              </a:rPr>
              <a:t>Gender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2">
              <a:shade val="7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2">
              <a:tint val="77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2">
              <a:tint val="65000"/>
            </a:schemeClr>
          </a:solidFill>
          <a:ln w="19050">
            <a:solidFill>
              <a:schemeClr val="lt1"/>
            </a:solidFill>
          </a:ln>
          <a:effectLst/>
        </c:spPr>
      </c:pivotFmt>
    </c:pivotFmts>
    <c:plotArea>
      <c:layout/>
      <c:pieChart>
        <c:varyColors val="1"/>
        <c:ser>
          <c:idx val="0"/>
          <c:order val="0"/>
          <c:tx>
            <c:strRef>
              <c:f>'Hidden-Dashboard1'!$F$5</c:f>
              <c:strCache>
                <c:ptCount val="1"/>
                <c:pt idx="0">
                  <c:v>Total</c:v>
                </c:pt>
              </c:strCache>
            </c:strRef>
          </c:tx>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1-450F-4D44-98EB-AD2AEE409AA8}"/>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450F-4D44-98EB-AD2AEE409AA8}"/>
              </c:ext>
            </c:extLst>
          </c:dPt>
          <c:dPt>
            <c:idx val="2"/>
            <c:bubble3D val="0"/>
            <c:spPr>
              <a:solidFill>
                <a:schemeClr val="accent2">
                  <a:tint val="65000"/>
                </a:schemeClr>
              </a:solidFill>
              <a:ln w="19050">
                <a:solidFill>
                  <a:schemeClr val="lt1"/>
                </a:solidFill>
              </a:ln>
              <a:effectLst/>
            </c:spPr>
            <c:extLst>
              <c:ext xmlns:c16="http://schemas.microsoft.com/office/drawing/2014/chart" uri="{C3380CC4-5D6E-409C-BE32-E72D297353CC}">
                <c16:uniqueId val="{00000005-450F-4D44-98EB-AD2AEE409AA8}"/>
              </c:ext>
            </c:extLst>
          </c:dPt>
          <c:dLbls>
            <c:dLbl>
              <c:idx val="0"/>
              <c:dLblPos val="outEnd"/>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50F-4D44-98EB-AD2AEE409AA8}"/>
                </c:ext>
              </c:extLst>
            </c:dLbl>
            <c:dLbl>
              <c:idx val="1"/>
              <c:dLblPos val="outEnd"/>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50F-4D44-98EB-AD2AEE409AA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'Hidden-Dashboard1'!$E$6:$E$8</c:f>
              <c:strCache>
                <c:ptCount val="3"/>
                <c:pt idx="0">
                  <c:v>Female</c:v>
                </c:pt>
                <c:pt idx="1">
                  <c:v>Male</c:v>
                </c:pt>
                <c:pt idx="2">
                  <c:v>Other</c:v>
                </c:pt>
              </c:strCache>
            </c:strRef>
          </c:cat>
          <c:val>
            <c:numRef>
              <c:f>'Hidden-Dashboard1'!$F$6:$F$8</c:f>
              <c:numCache>
                <c:formatCode>General</c:formatCode>
                <c:ptCount val="3"/>
                <c:pt idx="0">
                  <c:v>20</c:v>
                </c:pt>
                <c:pt idx="1">
                  <c:v>40</c:v>
                </c:pt>
                <c:pt idx="2">
                  <c:v>2</c:v>
                </c:pt>
              </c:numCache>
            </c:numRef>
          </c:val>
          <c:extLst>
            <c:ext xmlns:c16="http://schemas.microsoft.com/office/drawing/2014/chart" uri="{C3380CC4-5D6E-409C-BE32-E72D297353CC}">
              <c16:uniqueId val="{00000006-450F-4D44-98EB-AD2AEE409AA8}"/>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[it-Workforce-Planning-Tool.xlsm]Hidden-Dashboard1!Cost1</c:name>
    <c:fmtId val="12"/>
  </c:pivotSource>
  <c:chart>
    <c:title>
      <c:tx>
        <c:rich>
          <a:bodyPr rot="0" spcFirstLastPara="1" vertOverflow="ellipsis" vert="horz" wrap="square" anchor="ctr" anchorCtr="1"/>
          <a:lstStyle/>
          <a:p>
            <a:pPr>
              <a:defRPr sz="14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a:t>Total Cost Breakdown</a:t>
            </a:r>
          </a:p>
        </c:rich>
      </c:tx>
      <c:overlay val="0"/>
      <c:spPr>
        <a:solidFill>
          <a:schemeClr val="accent3"/>
        </a:solidFill>
        <a:ln>
          <a:noFill/>
        </a:ln>
        <a:effectLst/>
      </c:spPr>
      <c:txPr>
        <a:bodyPr rot="0" spcFirstLastPara="1" vertOverflow="ellipsis" vert="horz" wrap="square" anchor="ctr" anchorCtr="1"/>
        <a:lstStyle/>
        <a:p>
          <a:pPr>
            <a:defRPr sz="14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'Hidden-Dashboard1'!$L$5</c:f>
              <c:strCache>
                <c:ptCount val="1"/>
                <c:pt idx="0">
                  <c:v>Total</c:v>
                </c:pt>
              </c:strCache>
            </c:strRef>
          </c:tx>
          <c:spPr>
            <a:solidFill>
              <a:schemeClr val="accent1"/>
            </a:solidFill>
            <a:ln>
              <a:noFill/>
            </a:ln>
            <a:effectLst/>
          </c:spPr>
          <c:invertIfNegative val="0"/>
          <c:cat>
            <c:strRef>
              <c:f>'Hidden-Dashboard1'!$K$6:$K$9</c:f>
              <c:strCache>
                <c:ptCount val="4"/>
                <c:pt idx="0">
                  <c:v>Designers</c:v>
                </c:pt>
                <c:pt idx="1">
                  <c:v>HR</c:v>
                </c:pt>
                <c:pt idx="2">
                  <c:v>Marketers</c:v>
                </c:pt>
                <c:pt idx="3">
                  <c:v>Researcher</c:v>
                </c:pt>
              </c:strCache>
            </c:strRef>
          </c:cat>
          <c:val>
            <c:numRef>
              <c:f>'Hidden-Dashboard1'!$L$6:$L$9</c:f>
              <c:numCache>
                <c:formatCode>_-"$"* #,##0_-;\-"$"* #,##0_-;_-"$"* "-"??_-;_-@_-</c:formatCode>
                <c:ptCount val="4"/>
                <c:pt idx="0">
                  <c:v>600000</c:v>
                </c:pt>
                <c:pt idx="1">
                  <c:v>390000</c:v>
                </c:pt>
                <c:pt idx="2">
                  <c:v>1120000</c:v>
                </c:pt>
                <c:pt idx="3">
                  <c:v>480000</c:v>
                </c:pt>
              </c:numCache>
            </c:numRef>
          </c:val>
          <c:extLst>
            <c:ext xmlns:c16="http://schemas.microsoft.com/office/drawing/2014/chart" uri="{C3380CC4-5D6E-409C-BE32-E72D297353CC}">
              <c16:uniqueId val="{00000000-2944-4230-9D1F-9199E3A95AF9}"/>
            </c:ext>
          </c:extLst>
        </c:ser>
        <c:dLbls>
          <c:showLegendKey val="0"/>
          <c:showVal val="0"/>
          <c:showCatName val="0"/>
          <c:showSerName val="0"/>
          <c:showPercent val="0"/>
          <c:showBubbleSize val="0"/>
        </c:dLbls>
        <c:gapWidth val="219"/>
        <c:overlap val="-27"/>
        <c:axId val="367109104"/>
        <c:axId val="367109664"/>
      </c:barChart>
      <c:catAx>
        <c:axId val="36710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67109664"/>
        <c:crosses val="autoZero"/>
        <c:auto val="1"/>
        <c:lblAlgn val="ctr"/>
        <c:lblOffset val="100"/>
        <c:noMultiLvlLbl val="0"/>
      </c:catAx>
      <c:valAx>
        <c:axId val="3671096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67109104"/>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Table>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hyperlink" Target="https://support.office.com/en-us/article/Switch-between-various-sets-of-values-by-using-scenarios-2068afb1-ecdf-4956-9822-19ec479f55a2"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9525</xdr:colOff>
      <xdr:row>0</xdr:row>
      <xdr:rowOff>1038225</xdr:rowOff>
    </xdr:to>
    <xdr:pic>
      <xdr:nvPicPr>
        <xdr:cNvPr id="3" name="Picture 7" descr="excel_tool-header">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0"/>
          <a:ext cx="79533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406797</xdr:colOff>
      <xdr:row>5</xdr:row>
      <xdr:rowOff>218280</xdr:rowOff>
    </xdr:from>
    <xdr:to>
      <xdr:col>12</xdr:col>
      <xdr:colOff>128983</xdr:colOff>
      <xdr:row>6</xdr:row>
      <xdr:rowOff>69452</xdr:rowOff>
    </xdr:to>
    <xdr:sp macro="" textlink="">
      <xdr:nvSpPr>
        <xdr:cNvPr id="2" name="U-Turn Arrow 1">
          <a:extLst>
            <a:ext uri="{FF2B5EF4-FFF2-40B4-BE49-F238E27FC236}">
              <a16:creationId xmlns:a16="http://schemas.microsoft.com/office/drawing/2014/main" id="{00000000-0008-0000-0200-000002000000}"/>
            </a:ext>
          </a:extLst>
        </xdr:cNvPr>
        <xdr:cNvSpPr/>
      </xdr:nvSpPr>
      <xdr:spPr>
        <a:xfrm flipH="1">
          <a:off x="9862344" y="2272108"/>
          <a:ext cx="3472655" cy="426641"/>
        </a:xfrm>
        <a:prstGeom prst="uturnArrow">
          <a:avLst>
            <a:gd name="adj1" fmla="val 50000"/>
            <a:gd name="adj2" fmla="val 18023"/>
            <a:gd name="adj3" fmla="val 50000"/>
            <a:gd name="adj4" fmla="val 50000"/>
            <a:gd name="adj5" fmla="val 75000"/>
          </a:avLst>
        </a:prstGeom>
        <a:gradFill flip="none" rotWithShape="1">
          <a:gsLst>
            <a:gs pos="0">
              <a:schemeClr val="accent3"/>
            </a:gs>
            <a:gs pos="100000">
              <a:schemeClr val="accent2"/>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n>
              <a:noFill/>
            </a:ln>
            <a:solidFill>
              <a:schemeClr val="tx1"/>
            </a:solidFill>
          </a:endParaRPr>
        </a:p>
      </xdr:txBody>
    </xdr:sp>
    <xdr:clientData/>
  </xdr:twoCellAnchor>
  <xdr:twoCellAnchor>
    <xdr:from>
      <xdr:col>11</xdr:col>
      <xdr:colOff>952501</xdr:colOff>
      <xdr:row>5</xdr:row>
      <xdr:rowOff>347268</xdr:rowOff>
    </xdr:from>
    <xdr:to>
      <xdr:col>12</xdr:col>
      <xdr:colOff>337347</xdr:colOff>
      <xdr:row>6</xdr:row>
      <xdr:rowOff>59530</xdr:rowOff>
    </xdr:to>
    <xdr:sp macro="" textlink="">
      <xdr:nvSpPr>
        <xdr:cNvPr id="3" name="Isosceles Triangle 2">
          <a:extLst>
            <a:ext uri="{FF2B5EF4-FFF2-40B4-BE49-F238E27FC236}">
              <a16:creationId xmlns:a16="http://schemas.microsoft.com/office/drawing/2014/main" id="{00000000-0008-0000-0200-000003000000}"/>
            </a:ext>
          </a:extLst>
        </xdr:cNvPr>
        <xdr:cNvSpPr/>
      </xdr:nvSpPr>
      <xdr:spPr>
        <a:xfrm>
          <a:off x="11400235" y="2401096"/>
          <a:ext cx="555628" cy="287731"/>
        </a:xfrm>
        <a:prstGeom prst="triangle">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9922</xdr:colOff>
      <xdr:row>3</xdr:row>
      <xdr:rowOff>128985</xdr:rowOff>
    </xdr:from>
    <xdr:to>
      <xdr:col>2</xdr:col>
      <xdr:colOff>1875234</xdr:colOff>
      <xdr:row>5</xdr:row>
      <xdr:rowOff>287735</xdr:rowOff>
    </xdr:to>
    <xdr:sp macro="" textlink="">
      <xdr:nvSpPr>
        <xdr:cNvPr id="4" name="Rounded Rectangular Callout 3">
          <a:extLst>
            <a:ext uri="{FF2B5EF4-FFF2-40B4-BE49-F238E27FC236}">
              <a16:creationId xmlns:a16="http://schemas.microsoft.com/office/drawing/2014/main" id="{00000000-0008-0000-0200-000004000000}"/>
            </a:ext>
          </a:extLst>
        </xdr:cNvPr>
        <xdr:cNvSpPr/>
      </xdr:nvSpPr>
      <xdr:spPr>
        <a:xfrm>
          <a:off x="426641" y="1478360"/>
          <a:ext cx="1865312" cy="1220391"/>
        </a:xfrm>
        <a:prstGeom prst="wedgeRoundRectCallout">
          <a:avLst>
            <a:gd name="adj1" fmla="val -21888"/>
            <a:gd name="adj2" fmla="val 80366"/>
            <a:gd name="adj3" fmla="val 16667"/>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solidFill>
                <a:schemeClr val="tx1"/>
              </a:solidFill>
              <a:latin typeface="Arial" panose="020B0604020202020204" pitchFamily="34" charset="0"/>
              <a:cs typeface="Arial" panose="020B0604020202020204" pitchFamily="34" charset="0"/>
            </a:rPr>
            <a:t>Enter all department</a:t>
          </a:r>
          <a:r>
            <a:rPr lang="en-CA" sz="1000" baseline="0">
              <a:solidFill>
                <a:schemeClr val="tx1"/>
              </a:solidFill>
              <a:latin typeface="Arial" panose="020B0604020202020204" pitchFamily="34" charset="0"/>
              <a:cs typeface="Arial" panose="020B0604020202020204" pitchFamily="34" charset="0"/>
            </a:rPr>
            <a:t> or business unit names that will be participating in workforce planning. This column can be left blank if desired.</a:t>
          </a:r>
          <a:endParaRPr lang="en-CA" sz="1000">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2235994</xdr:colOff>
      <xdr:row>3</xdr:row>
      <xdr:rowOff>148828</xdr:rowOff>
    </xdr:from>
    <xdr:to>
      <xdr:col>4</xdr:col>
      <xdr:colOff>1333103</xdr:colOff>
      <xdr:row>5</xdr:row>
      <xdr:rowOff>291307</xdr:rowOff>
    </xdr:to>
    <xdr:sp macro="" textlink="">
      <xdr:nvSpPr>
        <xdr:cNvPr id="5" name="Rounded Rectangular Callout 4">
          <a:extLst>
            <a:ext uri="{FF2B5EF4-FFF2-40B4-BE49-F238E27FC236}">
              <a16:creationId xmlns:a16="http://schemas.microsoft.com/office/drawing/2014/main" id="{00000000-0008-0000-0200-000005000000}"/>
            </a:ext>
          </a:extLst>
        </xdr:cNvPr>
        <xdr:cNvSpPr/>
      </xdr:nvSpPr>
      <xdr:spPr>
        <a:xfrm>
          <a:off x="2652713" y="1498203"/>
          <a:ext cx="1736328" cy="1204120"/>
        </a:xfrm>
        <a:prstGeom prst="wedgeRoundRectCallout">
          <a:avLst>
            <a:gd name="adj1" fmla="val 22151"/>
            <a:gd name="adj2" fmla="val 77407"/>
            <a:gd name="adj3" fmla="val 16667"/>
          </a:avLst>
        </a:prstGeom>
        <a:solidFill>
          <a:schemeClr val="bg1">
            <a:lumMod val="9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solidFill>
                <a:schemeClr val="tx1"/>
              </a:solidFill>
              <a:latin typeface="Arial" panose="020B0604020202020204" pitchFamily="34" charset="0"/>
              <a:cs typeface="Arial" panose="020B0604020202020204" pitchFamily="34" charset="0"/>
            </a:rPr>
            <a:t>Enter the categories tracked in your</a:t>
          </a:r>
          <a:r>
            <a:rPr lang="en-CA" sz="1000" baseline="0">
              <a:solidFill>
                <a:schemeClr val="tx1"/>
              </a:solidFill>
              <a:latin typeface="Arial" panose="020B0604020202020204" pitchFamily="34" charset="0"/>
              <a:cs typeface="Arial" panose="020B0604020202020204" pitchFamily="34" charset="0"/>
            </a:rPr>
            <a:t> organization </a:t>
          </a:r>
          <a:r>
            <a:rPr lang="en-CA" sz="1000" baseline="0">
              <a:solidFill>
                <a:schemeClr val="tx1"/>
              </a:solidFill>
              <a:effectLst/>
              <a:latin typeface="Arial" panose="020B0604020202020204" pitchFamily="34" charset="0"/>
              <a:ea typeface="+mn-ea"/>
              <a:cs typeface="Arial" panose="020B0604020202020204" pitchFamily="34" charset="0"/>
            </a:rPr>
            <a:t>i</a:t>
          </a:r>
          <a:r>
            <a:rPr lang="en-CA" sz="1000">
              <a:solidFill>
                <a:schemeClr val="tx1"/>
              </a:solidFill>
              <a:effectLst/>
              <a:latin typeface="Arial" panose="020B0604020202020204" pitchFamily="34" charset="0"/>
              <a:ea typeface="+mn-ea"/>
              <a:cs typeface="Arial" panose="020B0604020202020204" pitchFamily="34" charset="0"/>
            </a:rPr>
            <a:t>f evaluating diversity</a:t>
          </a:r>
          <a:r>
            <a:rPr lang="en-CA" sz="1000" baseline="0">
              <a:solidFill>
                <a:schemeClr val="tx1"/>
              </a:solidFill>
              <a:latin typeface="Arial" panose="020B0604020202020204" pitchFamily="34" charset="0"/>
              <a:cs typeface="Arial" panose="020B0604020202020204" pitchFamily="34" charset="0"/>
            </a:rPr>
            <a:t>. This column can be left blank if desired.</a:t>
          </a:r>
          <a:endParaRPr lang="en-CA" sz="1000">
            <a:solidFill>
              <a:schemeClr val="tx1"/>
            </a:solidFill>
            <a:latin typeface="Arial" panose="020B0604020202020204" pitchFamily="34" charset="0"/>
            <a:cs typeface="Arial" panose="020B0604020202020204" pitchFamily="34" charset="0"/>
          </a:endParaRPr>
        </a:p>
      </xdr:txBody>
    </xdr:sp>
    <xdr:clientData/>
  </xdr:twoCellAnchor>
  <xdr:twoCellAnchor>
    <xdr:from>
      <xdr:col>6</xdr:col>
      <xdr:colOff>36908</xdr:colOff>
      <xdr:row>3</xdr:row>
      <xdr:rowOff>132556</xdr:rowOff>
    </xdr:from>
    <xdr:to>
      <xdr:col>6</xdr:col>
      <xdr:colOff>1488281</xdr:colOff>
      <xdr:row>5</xdr:row>
      <xdr:rowOff>275035</xdr:rowOff>
    </xdr:to>
    <xdr:sp macro="" textlink="">
      <xdr:nvSpPr>
        <xdr:cNvPr id="6" name="Rounded Rectangular Callout 5">
          <a:extLst>
            <a:ext uri="{FF2B5EF4-FFF2-40B4-BE49-F238E27FC236}">
              <a16:creationId xmlns:a16="http://schemas.microsoft.com/office/drawing/2014/main" id="{00000000-0008-0000-0200-000006000000}"/>
            </a:ext>
          </a:extLst>
        </xdr:cNvPr>
        <xdr:cNvSpPr/>
      </xdr:nvSpPr>
      <xdr:spPr>
        <a:xfrm>
          <a:off x="4680346" y="1481931"/>
          <a:ext cx="1451373" cy="1204120"/>
        </a:xfrm>
        <a:prstGeom prst="wedgeRoundRectCallout">
          <a:avLst>
            <a:gd name="adj1" fmla="val 22151"/>
            <a:gd name="adj2" fmla="val 83175"/>
            <a:gd name="adj3" fmla="val 16667"/>
          </a:avLst>
        </a:prstGeom>
        <a:solidFill>
          <a:schemeClr val="bg2"/>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solidFill>
                <a:schemeClr val="tx1"/>
              </a:solidFill>
              <a:latin typeface="Arial" panose="020B0604020202020204" pitchFamily="34" charset="0"/>
              <a:cs typeface="Arial" panose="020B0604020202020204" pitchFamily="34" charset="0"/>
            </a:rPr>
            <a:t>Enter names of all roles under consideration for workforce planning. </a:t>
          </a:r>
          <a:r>
            <a:rPr lang="en-CA" sz="1050" b="1">
              <a:solidFill>
                <a:schemeClr val="tx1"/>
              </a:solidFill>
              <a:latin typeface="Arial" panose="020B0604020202020204" pitchFamily="34" charset="0"/>
              <a:cs typeface="Arial" panose="020B0604020202020204" pitchFamily="34" charset="0"/>
            </a:rPr>
            <a:t>This column must be completed</a:t>
          </a:r>
          <a:r>
            <a:rPr lang="en-CA" sz="1050" b="1" baseline="0">
              <a:solidFill>
                <a:schemeClr val="tx1"/>
              </a:solidFill>
              <a:latin typeface="Arial" panose="020B0604020202020204" pitchFamily="34" charset="0"/>
              <a:cs typeface="Arial" panose="020B0604020202020204" pitchFamily="34" charset="0"/>
            </a:rPr>
            <a:t>. </a:t>
          </a:r>
          <a:endParaRPr lang="en-CA"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6</xdr:col>
      <xdr:colOff>1895871</xdr:colOff>
      <xdr:row>3</xdr:row>
      <xdr:rowOff>146049</xdr:rowOff>
    </xdr:from>
    <xdr:to>
      <xdr:col>7</xdr:col>
      <xdr:colOff>1134666</xdr:colOff>
      <xdr:row>5</xdr:row>
      <xdr:rowOff>288528</xdr:rowOff>
    </xdr:to>
    <xdr:sp macro="" textlink="">
      <xdr:nvSpPr>
        <xdr:cNvPr id="7" name="Rounded Rectangular Callout 6">
          <a:extLst>
            <a:ext uri="{FF2B5EF4-FFF2-40B4-BE49-F238E27FC236}">
              <a16:creationId xmlns:a16="http://schemas.microsoft.com/office/drawing/2014/main" id="{00000000-0008-0000-0200-000007000000}"/>
            </a:ext>
          </a:extLst>
        </xdr:cNvPr>
        <xdr:cNvSpPr/>
      </xdr:nvSpPr>
      <xdr:spPr>
        <a:xfrm>
          <a:off x="6539309" y="1495424"/>
          <a:ext cx="1689498" cy="1204120"/>
        </a:xfrm>
        <a:prstGeom prst="wedgeRoundRectCallout">
          <a:avLst>
            <a:gd name="adj1" fmla="val 22151"/>
            <a:gd name="adj2" fmla="val 77407"/>
            <a:gd name="adj3" fmla="val 16667"/>
          </a:avLst>
        </a:prstGeom>
        <a:solidFill>
          <a:schemeClr val="bg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solidFill>
                <a:schemeClr val="tx1"/>
              </a:solidFill>
              <a:latin typeface="Arial" panose="020B0604020202020204" pitchFamily="34" charset="0"/>
              <a:cs typeface="Arial" panose="020B0604020202020204" pitchFamily="34" charset="0"/>
            </a:rPr>
            <a:t>Enter the total average</a:t>
          </a:r>
          <a:r>
            <a:rPr lang="en-CA" sz="1000" baseline="0">
              <a:solidFill>
                <a:schemeClr val="tx1"/>
              </a:solidFill>
              <a:latin typeface="Arial" panose="020B0604020202020204" pitchFamily="34" charset="0"/>
              <a:cs typeface="Arial" panose="020B0604020202020204" pitchFamily="34" charset="0"/>
            </a:rPr>
            <a:t> cost of this role including salary, benefits, and bonuses. This column can be left blank if desired.</a:t>
          </a:r>
          <a:endParaRPr lang="en-CA" sz="1000">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240903</xdr:colOff>
      <xdr:row>3</xdr:row>
      <xdr:rowOff>76200</xdr:rowOff>
    </xdr:from>
    <xdr:to>
      <xdr:col>13</xdr:col>
      <xdr:colOff>1530747</xdr:colOff>
      <xdr:row>5</xdr:row>
      <xdr:rowOff>133350</xdr:rowOff>
    </xdr:to>
    <xdr:sp macro="" textlink="">
      <xdr:nvSpPr>
        <xdr:cNvPr id="8" name="Rounded Rectangular Callout 7">
          <a:extLst>
            <a:ext uri="{FF2B5EF4-FFF2-40B4-BE49-F238E27FC236}">
              <a16:creationId xmlns:a16="http://schemas.microsoft.com/office/drawing/2014/main" id="{00000000-0008-0000-0200-000008000000}"/>
            </a:ext>
          </a:extLst>
        </xdr:cNvPr>
        <xdr:cNvSpPr/>
      </xdr:nvSpPr>
      <xdr:spPr>
        <a:xfrm>
          <a:off x="8546703" y="1638300"/>
          <a:ext cx="5423694" cy="1114425"/>
        </a:xfrm>
        <a:prstGeom prst="wedgeRoundRectCallout">
          <a:avLst>
            <a:gd name="adj1" fmla="val -42017"/>
            <a:gd name="adj2" fmla="val 114176"/>
            <a:gd name="adj3" fmla="val 16667"/>
          </a:avLst>
        </a:prstGeom>
        <a:solidFill>
          <a:schemeClr val="bg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solidFill>
                <a:schemeClr val="tx1"/>
              </a:solidFill>
              <a:latin typeface="Arial" panose="020B0604020202020204" pitchFamily="34" charset="0"/>
              <a:cs typeface="Arial" panose="020B0604020202020204" pitchFamily="34" charset="0"/>
            </a:rPr>
            <a:t>Total attrition measures</a:t>
          </a:r>
          <a:r>
            <a:rPr lang="en-CA" sz="1000" baseline="0">
              <a:solidFill>
                <a:schemeClr val="tx1"/>
              </a:solidFill>
              <a:latin typeface="Arial" panose="020B0604020202020204" pitchFamily="34" charset="0"/>
              <a:cs typeface="Arial" panose="020B0604020202020204" pitchFamily="34" charset="0"/>
            </a:rPr>
            <a:t> the average flow of people into and out of a role. This tool is set up to use a trending average to make predictions. McLean &amp; Company recommends using an average value over three years when inputting this information because just using data from one year may not accurately represent what is going on in the organization. For example, turnover may have been unexpectedly high in one year and if just that number is used, projected turnover for workforce planning will be artificially high. </a:t>
          </a:r>
          <a:endParaRPr lang="en-CA" sz="1000">
            <a:solidFill>
              <a:schemeClr val="tx1"/>
            </a:solidFill>
            <a:latin typeface="Arial" panose="020B0604020202020204" pitchFamily="34" charset="0"/>
            <a:cs typeface="Arial" panose="020B0604020202020204" pitchFamily="34" charset="0"/>
          </a:endParaRPr>
        </a:p>
      </xdr:txBody>
    </xdr:sp>
    <xdr:clientData/>
  </xdr:twoCellAnchor>
  <xdr:twoCellAnchor>
    <xdr:from>
      <xdr:col>14</xdr:col>
      <xdr:colOff>138905</xdr:colOff>
      <xdr:row>3</xdr:row>
      <xdr:rowOff>172242</xdr:rowOff>
    </xdr:from>
    <xdr:to>
      <xdr:col>17</xdr:col>
      <xdr:colOff>218282</xdr:colOff>
      <xdr:row>10</xdr:row>
      <xdr:rowOff>30480</xdr:rowOff>
    </xdr:to>
    <xdr:sp macro="" textlink="">
      <xdr:nvSpPr>
        <xdr:cNvPr id="9" name="Rounded Rectangular Callout 8">
          <a:extLst>
            <a:ext uri="{FF2B5EF4-FFF2-40B4-BE49-F238E27FC236}">
              <a16:creationId xmlns:a16="http://schemas.microsoft.com/office/drawing/2014/main" id="{00000000-0008-0000-0200-000009000000}"/>
            </a:ext>
          </a:extLst>
        </xdr:cNvPr>
        <xdr:cNvSpPr/>
      </xdr:nvSpPr>
      <xdr:spPr>
        <a:xfrm>
          <a:off x="14319725" y="1734342"/>
          <a:ext cx="2136777" cy="2555718"/>
        </a:xfrm>
        <a:prstGeom prst="wedgeRoundRectCallout">
          <a:avLst>
            <a:gd name="adj1" fmla="val -58071"/>
            <a:gd name="adj2" fmla="val 18843"/>
            <a:gd name="adj3" fmla="val 16667"/>
          </a:avLst>
        </a:prstGeom>
        <a:solidFill>
          <a:schemeClr val="bg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b="1">
              <a:solidFill>
                <a:schemeClr val="tx1"/>
              </a:solidFill>
              <a:latin typeface="Arial" panose="020B0604020202020204" pitchFamily="34" charset="0"/>
              <a:cs typeface="Arial" panose="020B0604020202020204" pitchFamily="34" charset="0"/>
            </a:rPr>
            <a:t>Turnover:</a:t>
          </a:r>
          <a:r>
            <a:rPr lang="en-CA" sz="1000" baseline="0">
              <a:solidFill>
                <a:schemeClr val="tx1"/>
              </a:solidFill>
              <a:latin typeface="Arial" panose="020B0604020202020204" pitchFamily="34" charset="0"/>
              <a:cs typeface="Arial" panose="020B0604020202020204" pitchFamily="34" charset="0"/>
            </a:rPr>
            <a:t> Individuals who have left the organization for other opportunities or been dismissed.</a:t>
          </a:r>
        </a:p>
        <a:p>
          <a:pPr algn="l"/>
          <a:r>
            <a:rPr lang="en-CA" sz="1000" b="1" baseline="0">
              <a:solidFill>
                <a:schemeClr val="tx1"/>
              </a:solidFill>
              <a:latin typeface="Arial" panose="020B0604020202020204" pitchFamily="34" charset="0"/>
              <a:cs typeface="Arial" panose="020B0604020202020204" pitchFamily="34" charset="0"/>
            </a:rPr>
            <a:t>Leaves/Promotions:</a:t>
          </a:r>
          <a:r>
            <a:rPr lang="en-CA" sz="1000" baseline="0">
              <a:solidFill>
                <a:schemeClr val="tx1"/>
              </a:solidFill>
              <a:latin typeface="Arial" panose="020B0604020202020204" pitchFamily="34" charset="0"/>
              <a:cs typeface="Arial" panose="020B0604020202020204" pitchFamily="34" charset="0"/>
            </a:rPr>
            <a:t> Total internal movement out of this role.</a:t>
          </a:r>
        </a:p>
        <a:p>
          <a:pPr algn="l"/>
          <a:r>
            <a:rPr lang="en-CA" sz="1000" b="1" baseline="0">
              <a:solidFill>
                <a:schemeClr val="tx1"/>
              </a:solidFill>
              <a:latin typeface="Arial" panose="020B0604020202020204" pitchFamily="34" charset="0"/>
              <a:cs typeface="Arial" panose="020B0604020202020204" pitchFamily="34" charset="0"/>
            </a:rPr>
            <a:t>Absenteeism: </a:t>
          </a:r>
          <a:r>
            <a:rPr lang="en-CA" sz="1000" b="0" baseline="0">
              <a:solidFill>
                <a:schemeClr val="tx1"/>
              </a:solidFill>
              <a:latin typeface="Arial" panose="020B0604020202020204" pitchFamily="34" charset="0"/>
              <a:cs typeface="Arial" panose="020B0604020202020204" pitchFamily="34" charset="0"/>
            </a:rPr>
            <a:t>R</a:t>
          </a:r>
          <a:r>
            <a:rPr lang="en-CA" sz="1000" baseline="0">
              <a:solidFill>
                <a:schemeClr val="tx1"/>
              </a:solidFill>
              <a:latin typeface="Arial" panose="020B0604020202020204" pitchFamily="34" charset="0"/>
              <a:cs typeface="Arial" panose="020B0604020202020204" pitchFamily="34" charset="0"/>
            </a:rPr>
            <a:t>elevant for organizations that need to ensure replacement staffing is available for absent employees.</a:t>
          </a:r>
        </a:p>
        <a:p>
          <a:pPr algn="l"/>
          <a:r>
            <a:rPr lang="en-CA" sz="1000" b="1" baseline="0">
              <a:solidFill>
                <a:schemeClr val="tx1"/>
              </a:solidFill>
              <a:latin typeface="Arial" panose="020B0604020202020204" pitchFamily="34" charset="0"/>
              <a:cs typeface="Arial" panose="020B0604020202020204" pitchFamily="34" charset="0"/>
            </a:rPr>
            <a:t>Historical Roles Additions: </a:t>
          </a:r>
          <a:r>
            <a:rPr lang="en-CA" sz="1000" baseline="0">
              <a:solidFill>
                <a:schemeClr val="tx1"/>
              </a:solidFill>
              <a:latin typeface="Arial" panose="020B0604020202020204" pitchFamily="34" charset="0"/>
              <a:cs typeface="Arial" panose="020B0604020202020204" pitchFamily="34" charset="0"/>
            </a:rPr>
            <a:t>Total internal movement into this position.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581024</xdr:colOff>
      <xdr:row>4</xdr:row>
      <xdr:rowOff>77559</xdr:rowOff>
    </xdr:from>
    <xdr:to>
      <xdr:col>12</xdr:col>
      <xdr:colOff>552449</xdr:colOff>
      <xdr:row>20</xdr:row>
      <xdr:rowOff>27213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409575</xdr:colOff>
      <xdr:row>20</xdr:row>
      <xdr:rowOff>53067</xdr:rowOff>
    </xdr:from>
    <xdr:to>
      <xdr:col>12</xdr:col>
      <xdr:colOff>581025</xdr:colOff>
      <xdr:row>34</xdr:row>
      <xdr:rowOff>63953</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891267</xdr:colOff>
      <xdr:row>3</xdr:row>
      <xdr:rowOff>142875</xdr:rowOff>
    </xdr:from>
    <xdr:to>
      <xdr:col>6</xdr:col>
      <xdr:colOff>472167</xdr:colOff>
      <xdr:row>34</xdr:row>
      <xdr:rowOff>135150</xdr:rowOff>
    </xdr:to>
    <mc:AlternateContent xmlns:mc="http://schemas.openxmlformats.org/markup-compatibility/2006" xmlns:a14="http://schemas.microsoft.com/office/drawing/2010/main">
      <mc:Choice Requires="a14">
        <xdr:graphicFrame macro="">
          <xdr:nvGraphicFramePr>
            <xdr:cNvPr id="4" name="Rol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Role"/>
            </a:graphicData>
          </a:graphic>
        </xdr:graphicFrame>
      </mc:Choice>
      <mc:Fallback xmlns="">
        <xdr:sp macro="" textlink="">
          <xdr:nvSpPr>
            <xdr:cNvPr id="0" name=""/>
            <xdr:cNvSpPr>
              <a:spLocks noTextEdit="1"/>
            </xdr:cNvSpPr>
          </xdr:nvSpPr>
          <xdr:spPr>
            <a:xfrm>
              <a:off x="2472417" y="2352675"/>
              <a:ext cx="2266950" cy="57168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266700</xdr:colOff>
      <xdr:row>36</xdr:row>
      <xdr:rowOff>0</xdr:rowOff>
    </xdr:from>
    <xdr:to>
      <xdr:col>15</xdr:col>
      <xdr:colOff>638174</xdr:colOff>
      <xdr:row>50</xdr:row>
      <xdr:rowOff>19050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295275</xdr:colOff>
      <xdr:row>3</xdr:row>
      <xdr:rowOff>57149</xdr:rowOff>
    </xdr:from>
    <xdr:to>
      <xdr:col>15</xdr:col>
      <xdr:colOff>609600</xdr:colOff>
      <xdr:row>35</xdr:row>
      <xdr:rowOff>27213</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295275" y="1228724"/>
          <a:ext cx="11887200" cy="587556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xdr:col>
      <xdr:colOff>133350</xdr:colOff>
      <xdr:row>3</xdr:row>
      <xdr:rowOff>142875</xdr:rowOff>
    </xdr:from>
    <xdr:to>
      <xdr:col>3</xdr:col>
      <xdr:colOff>804182</xdr:colOff>
      <xdr:row>34</xdr:row>
      <xdr:rowOff>133350</xdr:rowOff>
    </xdr:to>
    <mc:AlternateContent xmlns:mc="http://schemas.openxmlformats.org/markup-compatibility/2006" xmlns:a14="http://schemas.microsoft.com/office/drawing/2010/main">
      <mc:Choice Requires="a14">
        <xdr:graphicFrame macro="">
          <xdr:nvGraphicFramePr>
            <xdr:cNvPr id="8" name="Department">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57200" y="2352675"/>
              <a:ext cx="1928132" cy="5715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19050</xdr:colOff>
      <xdr:row>4</xdr:row>
      <xdr:rowOff>85725</xdr:rowOff>
    </xdr:from>
    <xdr:to>
      <xdr:col>10</xdr:col>
      <xdr:colOff>0</xdr:colOff>
      <xdr:row>6</xdr:row>
      <xdr:rowOff>314325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857625" y="3438525"/>
          <a:ext cx="1981200" cy="76200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b="1">
              <a:latin typeface="Arial" panose="020B0604020202020204" pitchFamily="34" charset="0"/>
              <a:cs typeface="Arial" panose="020B0604020202020204" pitchFamily="34" charset="0"/>
            </a:rPr>
            <a:t>Legend</a:t>
          </a:r>
        </a:p>
        <a:p>
          <a:endParaRPr lang="en-CA" sz="1100">
            <a:latin typeface="Arial" panose="020B0604020202020204" pitchFamily="34" charset="0"/>
            <a:cs typeface="Arial" panose="020B0604020202020204" pitchFamily="34" charset="0"/>
          </a:endParaRPr>
        </a:p>
      </xdr:txBody>
    </xdr:sp>
    <xdr:clientData/>
  </xdr:twoCellAnchor>
  <xdr:twoCellAnchor editAs="oneCell">
    <xdr:from>
      <xdr:col>9</xdr:col>
      <xdr:colOff>44950</xdr:colOff>
      <xdr:row>5</xdr:row>
      <xdr:rowOff>167492</xdr:rowOff>
    </xdr:from>
    <xdr:to>
      <xdr:col>9</xdr:col>
      <xdr:colOff>192155</xdr:colOff>
      <xdr:row>5</xdr:row>
      <xdr:rowOff>314696</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a:srcRect l="12811" t="16944" r="16931" b="12798"/>
        <a:stretch/>
      </xdr:blipFill>
      <xdr:spPr>
        <a:xfrm>
          <a:off x="5626600" y="3672692"/>
          <a:ext cx="147205" cy="147204"/>
        </a:xfrm>
        <a:prstGeom prst="rect">
          <a:avLst/>
        </a:prstGeom>
      </xdr:spPr>
    </xdr:pic>
    <xdr:clientData/>
  </xdr:twoCellAnchor>
  <xdr:twoCellAnchor editAs="oneCell">
    <xdr:from>
      <xdr:col>9</xdr:col>
      <xdr:colOff>16499</xdr:colOff>
      <xdr:row>6</xdr:row>
      <xdr:rowOff>92529</xdr:rowOff>
    </xdr:from>
    <xdr:to>
      <xdr:col>9</xdr:col>
      <xdr:colOff>220606</xdr:colOff>
      <xdr:row>6</xdr:row>
      <xdr:rowOff>262619</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2"/>
        <a:srcRect l="16537" t="24041" r="4088" b="7269"/>
        <a:stretch/>
      </xdr:blipFill>
      <xdr:spPr>
        <a:xfrm>
          <a:off x="5598149" y="3978729"/>
          <a:ext cx="204107" cy="170090"/>
        </a:xfrm>
        <a:prstGeom prst="rect">
          <a:avLst/>
        </a:prstGeom>
      </xdr:spPr>
    </xdr:pic>
    <xdr:clientData/>
  </xdr:twoCellAnchor>
  <xdr:twoCellAnchor editAs="oneCell">
    <xdr:from>
      <xdr:col>9</xdr:col>
      <xdr:colOff>23314</xdr:colOff>
      <xdr:row>5</xdr:row>
      <xdr:rowOff>299726</xdr:rowOff>
    </xdr:from>
    <xdr:to>
      <xdr:col>9</xdr:col>
      <xdr:colOff>213790</xdr:colOff>
      <xdr:row>6</xdr:row>
      <xdr:rowOff>136073</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a:stretch>
          <a:fillRect/>
        </a:stretch>
      </xdr:blipFill>
      <xdr:spPr>
        <a:xfrm>
          <a:off x="5604964" y="3804926"/>
          <a:ext cx="190476" cy="217347"/>
        </a:xfrm>
        <a:prstGeom prst="rect">
          <a:avLst/>
        </a:prstGeom>
      </xdr:spPr>
    </xdr:pic>
    <xdr:clientData/>
  </xdr:twoCellAnchor>
  <xdr:twoCellAnchor>
    <xdr:from>
      <xdr:col>6</xdr:col>
      <xdr:colOff>47625</xdr:colOff>
      <xdr:row>5</xdr:row>
      <xdr:rowOff>144574</xdr:rowOff>
    </xdr:from>
    <xdr:to>
      <xdr:col>9</xdr:col>
      <xdr:colOff>66675</xdr:colOff>
      <xdr:row>6</xdr:row>
      <xdr:rowOff>340176</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3886200" y="3649774"/>
          <a:ext cx="1762125" cy="576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latin typeface="Arial" panose="020B0604020202020204" pitchFamily="34" charset="0"/>
              <a:cs typeface="Arial" panose="020B0604020202020204" pitchFamily="34" charset="0"/>
            </a:rPr>
            <a:t>Arrows indicates</a:t>
          </a:r>
          <a:r>
            <a:rPr lang="en-CA" sz="1100" baseline="0">
              <a:latin typeface="Arial" panose="020B0604020202020204" pitchFamily="34" charset="0"/>
              <a:cs typeface="Arial" panose="020B0604020202020204" pitchFamily="34" charset="0"/>
            </a:rPr>
            <a:t> relative change in internal demand (from tab 6)</a:t>
          </a:r>
          <a:endParaRPr lang="en-CA" sz="1100">
            <a:latin typeface="Arial" panose="020B0604020202020204" pitchFamily="34" charset="0"/>
            <a:cs typeface="Arial" panose="020B0604020202020204" pitchFamily="34" charset="0"/>
          </a:endParaRPr>
        </a:p>
      </xdr:txBody>
    </xdr:sp>
    <xdr:clientData/>
  </xdr:twoCellAnchor>
  <xdr:twoCellAnchor>
    <xdr:from>
      <xdr:col>22</xdr:col>
      <xdr:colOff>523875</xdr:colOff>
      <xdr:row>2</xdr:row>
      <xdr:rowOff>381000</xdr:rowOff>
    </xdr:from>
    <xdr:to>
      <xdr:col>25</xdr:col>
      <xdr:colOff>257175</xdr:colOff>
      <xdr:row>2</xdr:row>
      <xdr:rowOff>2000249</xdr:rowOff>
    </xdr:to>
    <xdr:sp macro="" textlink="">
      <xdr:nvSpPr>
        <xdr:cNvPr id="3" name="Rectangular Callout 2">
          <a:hlinkClick xmlns:r="http://schemas.openxmlformats.org/officeDocument/2006/relationships" r:id="rId4"/>
          <a:extLst>
            <a:ext uri="{FF2B5EF4-FFF2-40B4-BE49-F238E27FC236}">
              <a16:creationId xmlns:a16="http://schemas.microsoft.com/office/drawing/2014/main" id="{00000000-0008-0000-0600-000003000000}"/>
            </a:ext>
          </a:extLst>
        </xdr:cNvPr>
        <xdr:cNvSpPr/>
      </xdr:nvSpPr>
      <xdr:spPr>
        <a:xfrm>
          <a:off x="14020800" y="990600"/>
          <a:ext cx="1790700" cy="1619249"/>
        </a:xfrm>
        <a:prstGeom prst="wedgeRectCallout">
          <a:avLst>
            <a:gd name="adj1" fmla="val -80939"/>
            <a:gd name="adj2" fmla="val -28072"/>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solidFill>
                <a:schemeClr val="tx1"/>
              </a:solidFill>
              <a:latin typeface="Arial" panose="020B0604020202020204" pitchFamily="34" charset="0"/>
              <a:cs typeface="Arial" panose="020B0604020202020204" pitchFamily="34" charset="0"/>
            </a:rPr>
            <a:t>Use</a:t>
          </a:r>
          <a:r>
            <a:rPr lang="en-CA" sz="1100" baseline="0">
              <a:solidFill>
                <a:schemeClr val="tx1"/>
              </a:solidFill>
              <a:latin typeface="Arial" panose="020B0604020202020204" pitchFamily="34" charset="0"/>
              <a:cs typeface="Arial" panose="020B0604020202020204" pitchFamily="34" charset="0"/>
            </a:rPr>
            <a:t> Excel's scenario manager to construct and evaluate multiple scenarios. </a:t>
          </a:r>
          <a:r>
            <a:rPr lang="en-CA" sz="1100" u="none" baseline="0">
              <a:solidFill>
                <a:schemeClr val="tx1"/>
              </a:solidFill>
              <a:latin typeface="Arial" panose="020B0604020202020204" pitchFamily="34" charset="0"/>
              <a:cs typeface="Arial" panose="020B0604020202020204" pitchFamily="34" charset="0"/>
            </a:rPr>
            <a:t>Click on this box </a:t>
          </a:r>
          <a:r>
            <a:rPr lang="en-CA" sz="1100" baseline="0">
              <a:solidFill>
                <a:schemeClr val="tx1"/>
              </a:solidFill>
              <a:latin typeface="Arial" panose="020B0604020202020204" pitchFamily="34" charset="0"/>
              <a:cs typeface="Arial" panose="020B0604020202020204" pitchFamily="34" charset="0"/>
            </a:rPr>
            <a:t>for more information. Alternatively, save multiple versions of this file for each scenario under consideration.</a:t>
          </a:r>
          <a:endParaRPr lang="en-CA" sz="1100">
            <a:solidFill>
              <a:schemeClr val="tx1"/>
            </a:solidFill>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techrg.sharepoint.com/sites/ReAd/Production/ProjectsinProgress/FY2017C6/Develop%20a%20Strategic%20Workforce%20plan/Blueprint%20and%20Tools/SWP%20Action%20Plann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Introduction"/>
      <sheetName val="2. Action Plan"/>
      <sheetName val="3. Communication Plan"/>
      <sheetName val="Calculations"/>
    </sheetNames>
    <sheetDataSet>
      <sheetData sheetId="0"/>
      <sheetData sheetId="1"/>
      <sheetData sheetId="2"/>
      <sheetData sheetId="3">
        <row r="12">
          <cell r="L12" t="str">
            <v>In progress</v>
          </cell>
        </row>
        <row r="13">
          <cell r="L13" t="str">
            <v>Completed</v>
          </cell>
        </row>
        <row r="14">
          <cell r="L14" t="str">
            <v>Not yet started</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3909.346675347224" createdVersion="5" refreshedVersion="6" minRefreshableVersion="3" recordCount="62" xr:uid="{00000000-000A-0000-FFFF-FFFF1C000000}">
  <cacheSource type="worksheet">
    <worksheetSource name="=EmployeeTable"/>
  </cacheSource>
  <cacheFields count="16">
    <cacheField name="Empl ID" numFmtId="0">
      <sharedItems containsSemiMixedTypes="0" containsString="0" containsNumber="1" containsInteger="1" minValue="1075" maxValue="9864"/>
    </cacheField>
    <cacheField name="Department" numFmtId="0">
      <sharedItems count="4">
        <s v="Customer Service"/>
        <s v="Research"/>
        <s v="Innovation"/>
        <s v="Sales Engage"/>
      </sharedItems>
    </cacheField>
    <cacheField name="Role" numFmtId="0">
      <sharedItems count="7">
        <s v="Account Manager"/>
        <s v="Designers"/>
        <s v="Marketers"/>
        <s v="Researcher"/>
        <s v="HR"/>
        <s v="Engineer"/>
        <s v="Maintenance"/>
      </sharedItems>
    </cacheField>
    <cacheField name="Hire Date" numFmtId="14">
      <sharedItems containsSemiMixedTypes="0" containsNonDate="0" containsDate="1" containsString="0" minDate="1951-09-17T00:00:00" maxDate="2017-04-22T00:00:00"/>
    </cacheField>
    <cacheField name="Start Date in Role" numFmtId="14">
      <sharedItems containsSemiMixedTypes="0" containsNonDate="0" containsDate="1" containsString="0" minDate="1951-09-17T00:00:00" maxDate="2016-05-06T00:00:00"/>
    </cacheField>
    <cacheField name="DOB" numFmtId="14">
      <sharedItems containsSemiMixedTypes="0" containsNonDate="0" containsDate="1" containsString="0" minDate="1950-08-28T00:00:00" maxDate="1994-08-22T00:00:00"/>
    </cacheField>
    <cacheField name="Gender" numFmtId="0">
      <sharedItems count="3">
        <s v="Male"/>
        <s v="Female"/>
        <s v="Other"/>
      </sharedItems>
    </cacheField>
    <cacheField name="Diversity" numFmtId="0">
      <sharedItems count="3">
        <s v="Asian"/>
        <s v="European American"/>
        <s v="African American"/>
      </sharedItems>
    </cacheField>
    <cacheField name="Tenure" numFmtId="1">
      <sharedItems containsSemiMixedTypes="0" containsString="0" containsNumber="1" containsInteger="1" minValue="2" maxValue="68"/>
    </cacheField>
    <cacheField name="Role Tenure" numFmtId="1">
      <sharedItems containsSemiMixedTypes="0" containsString="0" containsNumber="1" containsInteger="1" minValue="3" maxValue="68"/>
    </cacheField>
    <cacheField name="Age" numFmtId="0">
      <sharedItems containsSemiMixedTypes="0" containsString="0" containsNumber="1" containsInteger="1" minValue="25" maxValue="69"/>
    </cacheField>
    <cacheField name="Over 55" numFmtId="0">
      <sharedItems containsSemiMixedTypes="0" containsString="0" containsNumber="1" containsInteger="1" minValue="0" maxValue="1"/>
    </cacheField>
    <cacheField name="Salary" numFmtId="0">
      <sharedItems containsSemiMixedTypes="0" containsString="0" containsNumber="1" containsInteger="1" minValue="60000" maxValue="150000"/>
    </cacheField>
    <cacheField name="TenureBreakdown" numFmtId="0">
      <sharedItems count="4">
        <s v="10+ Years"/>
        <s v="6-10 Years"/>
        <s v="2-5 Years"/>
        <s v="1 Year or Less" u="1"/>
      </sharedItems>
    </cacheField>
    <cacheField name="RoleTenure" numFmtId="0">
      <sharedItems count="3">
        <s v="10+ Years"/>
        <s v="2-5 Years"/>
        <s v="6-10 Years"/>
      </sharedItems>
    </cacheField>
    <cacheField name="AgeBreakdown" numFmtId="0">
      <sharedItems count="6">
        <s v="45 to 54"/>
        <s v="35 to 44"/>
        <s v="55 to  64"/>
        <s v="25 to 34"/>
        <s v="Over 65"/>
        <s v="Under 25"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n v="5955"/>
    <x v="0"/>
    <x v="0"/>
    <d v="1964-09-29T00:00:00"/>
    <d v="2000-01-16T00:00:00"/>
    <d v="1973-03-05T00:00:00"/>
    <x v="0"/>
    <x v="0"/>
    <n v="55"/>
    <n v="20"/>
    <n v="47"/>
    <n v="0"/>
    <n v="60000"/>
    <x v="0"/>
    <x v="0"/>
    <x v="0"/>
  </r>
  <r>
    <n v="1431"/>
    <x v="0"/>
    <x v="0"/>
    <d v="1956-11-12T00:00:00"/>
    <d v="1968-01-08T00:00:00"/>
    <d v="1968-03-12T00:00:00"/>
    <x v="1"/>
    <x v="0"/>
    <n v="63"/>
    <n v="52"/>
    <n v="52"/>
    <n v="0"/>
    <n v="60000"/>
    <x v="0"/>
    <x v="0"/>
    <x v="0"/>
  </r>
  <r>
    <n v="3658"/>
    <x v="0"/>
    <x v="1"/>
    <d v="1996-04-10T00:00:00"/>
    <d v="1969-07-10T00:00:00"/>
    <d v="1977-08-22T00:00:00"/>
    <x v="0"/>
    <x v="1"/>
    <n v="23"/>
    <n v="50"/>
    <n v="42"/>
    <n v="0"/>
    <n v="120000"/>
    <x v="0"/>
    <x v="0"/>
    <x v="1"/>
  </r>
  <r>
    <n v="9864"/>
    <x v="0"/>
    <x v="0"/>
    <d v="2009-06-27T00:00:00"/>
    <d v="1981-09-06T00:00:00"/>
    <d v="1963-08-12T00:00:00"/>
    <x v="0"/>
    <x v="1"/>
    <n v="10"/>
    <n v="38"/>
    <n v="56"/>
    <n v="1"/>
    <n v="60000"/>
    <x v="0"/>
    <x v="0"/>
    <x v="2"/>
  </r>
  <r>
    <n v="6367"/>
    <x v="0"/>
    <x v="1"/>
    <d v="2011-02-13T00:00:00"/>
    <d v="1985-04-03T00:00:00"/>
    <d v="1993-01-05T00:00:00"/>
    <x v="1"/>
    <x v="0"/>
    <n v="9"/>
    <n v="34"/>
    <n v="27"/>
    <n v="0"/>
    <n v="120000"/>
    <x v="1"/>
    <x v="0"/>
    <x v="3"/>
  </r>
  <r>
    <n v="6618"/>
    <x v="0"/>
    <x v="2"/>
    <d v="1989-02-22T00:00:00"/>
    <d v="1995-10-17T00:00:00"/>
    <d v="1988-12-30T00:00:00"/>
    <x v="0"/>
    <x v="0"/>
    <n v="31"/>
    <n v="24"/>
    <n v="31"/>
    <n v="0"/>
    <n v="80000"/>
    <x v="0"/>
    <x v="0"/>
    <x v="3"/>
  </r>
  <r>
    <n v="8742"/>
    <x v="0"/>
    <x v="3"/>
    <d v="1999-09-22T00:00:00"/>
    <d v="1991-11-29T00:00:00"/>
    <d v="1971-10-06T00:00:00"/>
    <x v="0"/>
    <x v="1"/>
    <n v="20"/>
    <n v="28"/>
    <n v="48"/>
    <n v="0"/>
    <n v="80000"/>
    <x v="0"/>
    <x v="0"/>
    <x v="0"/>
  </r>
  <r>
    <n v="6041"/>
    <x v="0"/>
    <x v="1"/>
    <d v="2012-12-25T00:00:00"/>
    <d v="2015-05-02T00:00:00"/>
    <d v="1979-09-30T00:00:00"/>
    <x v="1"/>
    <x v="2"/>
    <n v="7"/>
    <n v="4"/>
    <n v="40"/>
    <n v="0"/>
    <n v="120000"/>
    <x v="1"/>
    <x v="1"/>
    <x v="1"/>
  </r>
  <r>
    <n v="7442"/>
    <x v="0"/>
    <x v="4"/>
    <d v="1985-03-07T00:00:00"/>
    <d v="1972-02-04T00:00:00"/>
    <d v="1973-11-22T00:00:00"/>
    <x v="0"/>
    <x v="1"/>
    <n v="35"/>
    <n v="48"/>
    <n v="46"/>
    <n v="0"/>
    <n v="65000"/>
    <x v="0"/>
    <x v="0"/>
    <x v="0"/>
  </r>
  <r>
    <n v="8432"/>
    <x v="0"/>
    <x v="1"/>
    <d v="1973-03-03T00:00:00"/>
    <d v="2014-10-20T00:00:00"/>
    <d v="1972-07-22T00:00:00"/>
    <x v="0"/>
    <x v="0"/>
    <n v="47"/>
    <n v="5"/>
    <n v="47"/>
    <n v="0"/>
    <n v="120000"/>
    <x v="0"/>
    <x v="1"/>
    <x v="0"/>
  </r>
  <r>
    <n v="1724"/>
    <x v="0"/>
    <x v="0"/>
    <d v="2012-09-10T00:00:00"/>
    <d v="1997-07-21T00:00:00"/>
    <d v="1991-07-29T00:00:00"/>
    <x v="1"/>
    <x v="0"/>
    <n v="7"/>
    <n v="22"/>
    <n v="28"/>
    <n v="0"/>
    <n v="60000"/>
    <x v="1"/>
    <x v="0"/>
    <x v="3"/>
  </r>
  <r>
    <n v="5894"/>
    <x v="0"/>
    <x v="0"/>
    <d v="1973-04-06T00:00:00"/>
    <d v="2009-03-11T00:00:00"/>
    <d v="1987-05-30T00:00:00"/>
    <x v="0"/>
    <x v="0"/>
    <n v="46"/>
    <n v="11"/>
    <n v="32"/>
    <n v="0"/>
    <n v="60000"/>
    <x v="0"/>
    <x v="0"/>
    <x v="3"/>
  </r>
  <r>
    <n v="8180"/>
    <x v="0"/>
    <x v="0"/>
    <d v="1995-12-20T00:00:00"/>
    <d v="1951-09-17T00:00:00"/>
    <d v="1975-08-21T00:00:00"/>
    <x v="0"/>
    <x v="0"/>
    <n v="24"/>
    <n v="68"/>
    <n v="44"/>
    <n v="0"/>
    <n v="60000"/>
    <x v="0"/>
    <x v="0"/>
    <x v="1"/>
  </r>
  <r>
    <n v="1075"/>
    <x v="0"/>
    <x v="0"/>
    <d v="2015-09-22T00:00:00"/>
    <d v="2003-05-19T00:00:00"/>
    <d v="1950-08-28T00:00:00"/>
    <x v="0"/>
    <x v="0"/>
    <n v="4"/>
    <n v="16"/>
    <n v="69"/>
    <n v="1"/>
    <n v="60000"/>
    <x v="2"/>
    <x v="0"/>
    <x v="4"/>
  </r>
  <r>
    <n v="7320"/>
    <x v="0"/>
    <x v="0"/>
    <d v="2000-08-15T00:00:00"/>
    <d v="2000-06-15T00:00:00"/>
    <d v="1955-11-30T00:00:00"/>
    <x v="0"/>
    <x v="0"/>
    <n v="19"/>
    <n v="19"/>
    <n v="64"/>
    <n v="1"/>
    <n v="60000"/>
    <x v="0"/>
    <x v="0"/>
    <x v="2"/>
  </r>
  <r>
    <n v="5185"/>
    <x v="0"/>
    <x v="0"/>
    <d v="2002-09-16T00:00:00"/>
    <d v="2006-08-20T00:00:00"/>
    <d v="1969-05-12T00:00:00"/>
    <x v="0"/>
    <x v="1"/>
    <n v="17"/>
    <n v="13"/>
    <n v="50"/>
    <n v="0"/>
    <n v="60000"/>
    <x v="0"/>
    <x v="0"/>
    <x v="0"/>
  </r>
  <r>
    <n v="9284"/>
    <x v="0"/>
    <x v="0"/>
    <d v="2000-01-16T00:00:00"/>
    <d v="1959-03-29T00:00:00"/>
    <d v="1971-03-15T00:00:00"/>
    <x v="0"/>
    <x v="0"/>
    <n v="20"/>
    <n v="60"/>
    <n v="49"/>
    <n v="0"/>
    <n v="60000"/>
    <x v="0"/>
    <x v="0"/>
    <x v="0"/>
  </r>
  <r>
    <n v="3790"/>
    <x v="0"/>
    <x v="0"/>
    <d v="1968-01-08T00:00:00"/>
    <d v="1984-05-09T00:00:00"/>
    <d v="1973-06-13T00:00:00"/>
    <x v="0"/>
    <x v="0"/>
    <n v="52"/>
    <n v="35"/>
    <n v="46"/>
    <n v="0"/>
    <n v="60000"/>
    <x v="0"/>
    <x v="0"/>
    <x v="0"/>
  </r>
  <r>
    <n v="5626"/>
    <x v="0"/>
    <x v="0"/>
    <d v="1969-07-10T00:00:00"/>
    <d v="1976-08-16T00:00:00"/>
    <d v="1981-09-07T00:00:00"/>
    <x v="0"/>
    <x v="0"/>
    <n v="50"/>
    <n v="43"/>
    <n v="38"/>
    <n v="0"/>
    <n v="60000"/>
    <x v="0"/>
    <x v="0"/>
    <x v="1"/>
  </r>
  <r>
    <n v="6319"/>
    <x v="0"/>
    <x v="0"/>
    <d v="1981-09-06T00:00:00"/>
    <d v="1964-09-29T00:00:00"/>
    <d v="1952-09-27T00:00:00"/>
    <x v="0"/>
    <x v="0"/>
    <n v="38"/>
    <n v="55"/>
    <n v="67"/>
    <n v="1"/>
    <n v="60000"/>
    <x v="0"/>
    <x v="0"/>
    <x v="4"/>
  </r>
  <r>
    <n v="6190"/>
    <x v="0"/>
    <x v="0"/>
    <d v="1985-04-03T00:00:00"/>
    <d v="1956-11-12T00:00:00"/>
    <d v="1976-05-02T00:00:00"/>
    <x v="1"/>
    <x v="2"/>
    <n v="34"/>
    <n v="63"/>
    <n v="43"/>
    <n v="0"/>
    <n v="60000"/>
    <x v="0"/>
    <x v="0"/>
    <x v="1"/>
  </r>
  <r>
    <n v="9438"/>
    <x v="0"/>
    <x v="0"/>
    <d v="1995-10-17T00:00:00"/>
    <d v="1996-04-10T00:00:00"/>
    <d v="1977-06-06T00:00:00"/>
    <x v="0"/>
    <x v="1"/>
    <n v="24"/>
    <n v="23"/>
    <n v="42"/>
    <n v="0"/>
    <n v="60000"/>
    <x v="0"/>
    <x v="0"/>
    <x v="1"/>
  </r>
  <r>
    <n v="4955"/>
    <x v="0"/>
    <x v="0"/>
    <d v="1991-11-29T00:00:00"/>
    <d v="2009-06-27T00:00:00"/>
    <d v="1970-03-20T00:00:00"/>
    <x v="1"/>
    <x v="2"/>
    <n v="28"/>
    <n v="10"/>
    <n v="49"/>
    <n v="0"/>
    <n v="60000"/>
    <x v="0"/>
    <x v="0"/>
    <x v="0"/>
  </r>
  <r>
    <n v="5402"/>
    <x v="0"/>
    <x v="0"/>
    <d v="2015-05-02T00:00:00"/>
    <d v="2011-02-13T00:00:00"/>
    <d v="1968-09-26T00:00:00"/>
    <x v="0"/>
    <x v="0"/>
    <n v="4"/>
    <n v="9"/>
    <n v="51"/>
    <n v="0"/>
    <n v="60000"/>
    <x v="2"/>
    <x v="2"/>
    <x v="0"/>
  </r>
  <r>
    <n v="1773"/>
    <x v="0"/>
    <x v="0"/>
    <d v="1972-02-04T00:00:00"/>
    <d v="1989-02-22T00:00:00"/>
    <d v="1991-08-18T00:00:00"/>
    <x v="0"/>
    <x v="1"/>
    <n v="48"/>
    <n v="31"/>
    <n v="28"/>
    <n v="0"/>
    <n v="60000"/>
    <x v="0"/>
    <x v="0"/>
    <x v="3"/>
  </r>
  <r>
    <n v="1192"/>
    <x v="0"/>
    <x v="0"/>
    <d v="2014-10-20T00:00:00"/>
    <d v="1999-09-22T00:00:00"/>
    <d v="1955-07-10T00:00:00"/>
    <x v="1"/>
    <x v="2"/>
    <n v="5"/>
    <n v="20"/>
    <n v="64"/>
    <n v="1"/>
    <n v="60000"/>
    <x v="2"/>
    <x v="0"/>
    <x v="2"/>
  </r>
  <r>
    <n v="5471"/>
    <x v="0"/>
    <x v="0"/>
    <d v="1997-07-21T00:00:00"/>
    <d v="2012-12-25T00:00:00"/>
    <d v="1961-03-09T00:00:00"/>
    <x v="0"/>
    <x v="2"/>
    <n v="22"/>
    <n v="7"/>
    <n v="59"/>
    <n v="1"/>
    <n v="60000"/>
    <x v="0"/>
    <x v="2"/>
    <x v="2"/>
  </r>
  <r>
    <n v="3607"/>
    <x v="0"/>
    <x v="0"/>
    <d v="2009-03-11T00:00:00"/>
    <d v="1985-03-07T00:00:00"/>
    <d v="1964-11-02T00:00:00"/>
    <x v="0"/>
    <x v="0"/>
    <n v="11"/>
    <n v="35"/>
    <n v="55"/>
    <n v="1"/>
    <n v="60000"/>
    <x v="0"/>
    <x v="0"/>
    <x v="4"/>
  </r>
  <r>
    <n v="3664"/>
    <x v="0"/>
    <x v="0"/>
    <d v="1951-09-17T00:00:00"/>
    <d v="1973-03-03T00:00:00"/>
    <d v="1964-08-27T00:00:00"/>
    <x v="1"/>
    <x v="1"/>
    <n v="68"/>
    <n v="47"/>
    <n v="55"/>
    <n v="1"/>
    <n v="60000"/>
    <x v="0"/>
    <x v="0"/>
    <x v="4"/>
  </r>
  <r>
    <n v="2750"/>
    <x v="0"/>
    <x v="0"/>
    <d v="2003-05-19T00:00:00"/>
    <d v="2012-09-10T00:00:00"/>
    <d v="1994-08-21T00:00:00"/>
    <x v="0"/>
    <x v="0"/>
    <n v="16"/>
    <n v="7"/>
    <n v="25"/>
    <n v="0"/>
    <n v="60000"/>
    <x v="0"/>
    <x v="2"/>
    <x v="3"/>
  </r>
  <r>
    <n v="6557"/>
    <x v="0"/>
    <x v="0"/>
    <d v="2000-06-15T00:00:00"/>
    <d v="1973-04-06T00:00:00"/>
    <d v="1969-09-15T00:00:00"/>
    <x v="0"/>
    <x v="0"/>
    <n v="19"/>
    <n v="46"/>
    <n v="50"/>
    <n v="0"/>
    <n v="60000"/>
    <x v="0"/>
    <x v="0"/>
    <x v="0"/>
  </r>
  <r>
    <n v="2023"/>
    <x v="0"/>
    <x v="0"/>
    <d v="2006-08-20T00:00:00"/>
    <d v="1995-12-20T00:00:00"/>
    <d v="1956-08-09T00:00:00"/>
    <x v="1"/>
    <x v="0"/>
    <n v="13"/>
    <n v="24"/>
    <n v="63"/>
    <n v="1"/>
    <n v="60000"/>
    <x v="0"/>
    <x v="0"/>
    <x v="2"/>
  </r>
  <r>
    <n v="9377"/>
    <x v="0"/>
    <x v="0"/>
    <d v="1959-03-29T00:00:00"/>
    <d v="2015-09-22T00:00:00"/>
    <d v="1964-08-12T00:00:00"/>
    <x v="0"/>
    <x v="0"/>
    <n v="60"/>
    <n v="4"/>
    <n v="55"/>
    <n v="1"/>
    <n v="60000"/>
    <x v="0"/>
    <x v="1"/>
    <x v="4"/>
  </r>
  <r>
    <n v="6158"/>
    <x v="1"/>
    <x v="5"/>
    <d v="1984-05-09T00:00:00"/>
    <d v="2000-08-15T00:00:00"/>
    <d v="1967-05-16T00:00:00"/>
    <x v="1"/>
    <x v="0"/>
    <n v="35"/>
    <n v="19"/>
    <n v="52"/>
    <n v="0"/>
    <n v="100000"/>
    <x v="0"/>
    <x v="0"/>
    <x v="0"/>
  </r>
  <r>
    <n v="8913"/>
    <x v="1"/>
    <x v="5"/>
    <d v="1976-08-16T00:00:00"/>
    <d v="2002-09-16T00:00:00"/>
    <d v="1974-04-19T00:00:00"/>
    <x v="0"/>
    <x v="0"/>
    <n v="43"/>
    <n v="17"/>
    <n v="45"/>
    <n v="0"/>
    <n v="100000"/>
    <x v="0"/>
    <x v="0"/>
    <x v="0"/>
  </r>
  <r>
    <n v="6185"/>
    <x v="1"/>
    <x v="5"/>
    <d v="1959-12-02T00:00:00"/>
    <d v="2000-01-16T00:00:00"/>
    <d v="1989-02-27T00:00:00"/>
    <x v="1"/>
    <x v="0"/>
    <n v="60"/>
    <n v="20"/>
    <n v="31"/>
    <n v="0"/>
    <n v="100000"/>
    <x v="0"/>
    <x v="0"/>
    <x v="3"/>
  </r>
  <r>
    <n v="2309"/>
    <x v="1"/>
    <x v="1"/>
    <d v="1992-02-01T00:00:00"/>
    <d v="1968-01-08T00:00:00"/>
    <d v="1959-10-16T00:00:00"/>
    <x v="0"/>
    <x v="0"/>
    <n v="28"/>
    <n v="52"/>
    <n v="60"/>
    <n v="1"/>
    <n v="120000"/>
    <x v="0"/>
    <x v="0"/>
    <x v="2"/>
  </r>
  <r>
    <n v="7070"/>
    <x v="1"/>
    <x v="3"/>
    <d v="1986-10-17T00:00:00"/>
    <d v="1969-07-10T00:00:00"/>
    <d v="1955-01-06T00:00:00"/>
    <x v="0"/>
    <x v="0"/>
    <n v="33"/>
    <n v="50"/>
    <n v="65"/>
    <n v="1"/>
    <n v="80000"/>
    <x v="0"/>
    <x v="0"/>
    <x v="4"/>
  </r>
  <r>
    <n v="2382"/>
    <x v="1"/>
    <x v="3"/>
    <d v="1990-01-22T00:00:00"/>
    <d v="1981-09-06T00:00:00"/>
    <d v="1978-05-17T00:00:00"/>
    <x v="1"/>
    <x v="1"/>
    <n v="30"/>
    <n v="38"/>
    <n v="41"/>
    <n v="0"/>
    <n v="80000"/>
    <x v="0"/>
    <x v="0"/>
    <x v="1"/>
  </r>
  <r>
    <n v="4477"/>
    <x v="1"/>
    <x v="3"/>
    <d v="1980-11-13T00:00:00"/>
    <d v="1985-04-03T00:00:00"/>
    <d v="1988-04-30T00:00:00"/>
    <x v="0"/>
    <x v="1"/>
    <n v="39"/>
    <n v="34"/>
    <n v="31"/>
    <n v="0"/>
    <n v="80000"/>
    <x v="0"/>
    <x v="0"/>
    <x v="3"/>
  </r>
  <r>
    <n v="1476"/>
    <x v="1"/>
    <x v="3"/>
    <d v="1961-05-15T00:00:00"/>
    <d v="1995-10-17T00:00:00"/>
    <d v="1968-11-11T00:00:00"/>
    <x v="0"/>
    <x v="1"/>
    <n v="58"/>
    <n v="24"/>
    <n v="51"/>
    <n v="0"/>
    <n v="80000"/>
    <x v="0"/>
    <x v="0"/>
    <x v="0"/>
  </r>
  <r>
    <n v="6160"/>
    <x v="0"/>
    <x v="4"/>
    <d v="1974-03-06T00:00:00"/>
    <d v="1991-11-29T00:00:00"/>
    <d v="1994-01-16T00:00:00"/>
    <x v="1"/>
    <x v="1"/>
    <n v="46"/>
    <n v="28"/>
    <n v="26"/>
    <n v="0"/>
    <n v="65000"/>
    <x v="0"/>
    <x v="0"/>
    <x v="3"/>
  </r>
  <r>
    <n v="3694"/>
    <x v="0"/>
    <x v="4"/>
    <d v="2007-12-06T00:00:00"/>
    <d v="2015-05-02T00:00:00"/>
    <d v="1978-04-20T00:00:00"/>
    <x v="0"/>
    <x v="1"/>
    <n v="12"/>
    <n v="4"/>
    <n v="41"/>
    <n v="0"/>
    <n v="65000"/>
    <x v="0"/>
    <x v="1"/>
    <x v="1"/>
  </r>
  <r>
    <n v="3646"/>
    <x v="0"/>
    <x v="0"/>
    <d v="1970-08-31T00:00:00"/>
    <d v="1972-02-04T00:00:00"/>
    <d v="1970-08-25T00:00:00"/>
    <x v="0"/>
    <x v="1"/>
    <n v="49"/>
    <n v="48"/>
    <n v="49"/>
    <n v="0"/>
    <n v="60000"/>
    <x v="0"/>
    <x v="0"/>
    <x v="0"/>
  </r>
  <r>
    <n v="1407"/>
    <x v="0"/>
    <x v="6"/>
    <d v="1988-07-10T00:00:00"/>
    <d v="2014-10-20T00:00:00"/>
    <d v="1976-01-12T00:00:00"/>
    <x v="1"/>
    <x v="1"/>
    <n v="31"/>
    <n v="5"/>
    <n v="44"/>
    <n v="0"/>
    <n v="150000"/>
    <x v="0"/>
    <x v="1"/>
    <x v="1"/>
  </r>
  <r>
    <n v="5137"/>
    <x v="0"/>
    <x v="4"/>
    <d v="1990-02-08T00:00:00"/>
    <d v="1997-07-21T00:00:00"/>
    <d v="1956-11-09T00:00:00"/>
    <x v="0"/>
    <x v="1"/>
    <n v="30"/>
    <n v="22"/>
    <n v="63"/>
    <n v="1"/>
    <n v="65000"/>
    <x v="0"/>
    <x v="0"/>
    <x v="2"/>
  </r>
  <r>
    <n v="4285"/>
    <x v="2"/>
    <x v="4"/>
    <d v="1954-05-18T00:00:00"/>
    <d v="2009-03-11T00:00:00"/>
    <d v="1977-11-04T00:00:00"/>
    <x v="1"/>
    <x v="1"/>
    <n v="65"/>
    <n v="11"/>
    <n v="42"/>
    <n v="0"/>
    <n v="65000"/>
    <x v="0"/>
    <x v="0"/>
    <x v="1"/>
  </r>
  <r>
    <n v="3607"/>
    <x v="2"/>
    <x v="4"/>
    <d v="1969-08-21T00:00:00"/>
    <d v="1951-09-17T00:00:00"/>
    <d v="1993-08-22T00:00:00"/>
    <x v="0"/>
    <x v="1"/>
    <n v="50"/>
    <n v="68"/>
    <n v="26"/>
    <n v="0"/>
    <n v="65000"/>
    <x v="0"/>
    <x v="0"/>
    <x v="3"/>
  </r>
  <r>
    <n v="5620"/>
    <x v="2"/>
    <x v="2"/>
    <d v="1988-04-10T00:00:00"/>
    <d v="2003-05-19T00:00:00"/>
    <d v="1964-09-03T00:00:00"/>
    <x v="1"/>
    <x v="1"/>
    <n v="31"/>
    <n v="16"/>
    <n v="55"/>
    <n v="1"/>
    <n v="80000"/>
    <x v="0"/>
    <x v="0"/>
    <x v="4"/>
  </r>
  <r>
    <n v="4424"/>
    <x v="2"/>
    <x v="2"/>
    <d v="1967-09-27T00:00:00"/>
    <d v="2000-06-15T00:00:00"/>
    <d v="1992-11-30T00:00:00"/>
    <x v="0"/>
    <x v="1"/>
    <n v="52"/>
    <n v="19"/>
    <n v="27"/>
    <n v="0"/>
    <n v="80000"/>
    <x v="0"/>
    <x v="0"/>
    <x v="3"/>
  </r>
  <r>
    <n v="7871"/>
    <x v="2"/>
    <x v="2"/>
    <d v="2006-03-08T00:00:00"/>
    <d v="2006-08-20T00:00:00"/>
    <d v="1974-03-02T00:00:00"/>
    <x v="0"/>
    <x v="1"/>
    <n v="14"/>
    <n v="13"/>
    <n v="46"/>
    <n v="0"/>
    <n v="80000"/>
    <x v="0"/>
    <x v="0"/>
    <x v="0"/>
  </r>
  <r>
    <n v="9858"/>
    <x v="2"/>
    <x v="2"/>
    <d v="1974-11-28T00:00:00"/>
    <d v="1959-03-29T00:00:00"/>
    <d v="1975-08-10T00:00:00"/>
    <x v="1"/>
    <x v="1"/>
    <n v="45"/>
    <n v="60"/>
    <n v="44"/>
    <n v="0"/>
    <n v="80000"/>
    <x v="0"/>
    <x v="0"/>
    <x v="1"/>
  </r>
  <r>
    <n v="5194"/>
    <x v="2"/>
    <x v="2"/>
    <d v="1984-11-29T00:00:00"/>
    <d v="1984-05-09T00:00:00"/>
    <d v="1980-03-26T00:00:00"/>
    <x v="0"/>
    <x v="1"/>
    <n v="35"/>
    <n v="35"/>
    <n v="39"/>
    <n v="0"/>
    <n v="80000"/>
    <x v="0"/>
    <x v="0"/>
    <x v="1"/>
  </r>
  <r>
    <n v="8447"/>
    <x v="2"/>
    <x v="2"/>
    <d v="1984-03-16T00:00:00"/>
    <d v="1976-08-16T00:00:00"/>
    <d v="1988-07-14T00:00:00"/>
    <x v="0"/>
    <x v="1"/>
    <n v="36"/>
    <n v="43"/>
    <n v="31"/>
    <n v="0"/>
    <n v="80000"/>
    <x v="0"/>
    <x v="0"/>
    <x v="3"/>
  </r>
  <r>
    <n v="3953"/>
    <x v="2"/>
    <x v="2"/>
    <d v="1968-08-07T00:00:00"/>
    <d v="1964-09-29T00:00:00"/>
    <d v="1954-11-21T00:00:00"/>
    <x v="1"/>
    <x v="1"/>
    <n v="51"/>
    <n v="55"/>
    <n v="65"/>
    <n v="1"/>
    <n v="80000"/>
    <x v="0"/>
    <x v="0"/>
    <x v="4"/>
  </r>
  <r>
    <n v="5368"/>
    <x v="2"/>
    <x v="2"/>
    <d v="1951-11-08T00:00:00"/>
    <d v="1956-11-12T00:00:00"/>
    <d v="1967-08-26T00:00:00"/>
    <x v="0"/>
    <x v="1"/>
    <n v="68"/>
    <n v="63"/>
    <n v="52"/>
    <n v="0"/>
    <n v="80000"/>
    <x v="0"/>
    <x v="0"/>
    <x v="0"/>
  </r>
  <r>
    <n v="1181"/>
    <x v="2"/>
    <x v="2"/>
    <d v="2009-03-01T00:00:00"/>
    <d v="1996-04-10T00:00:00"/>
    <d v="1957-04-15T00:00:00"/>
    <x v="0"/>
    <x v="1"/>
    <n v="11"/>
    <n v="23"/>
    <n v="62"/>
    <n v="1"/>
    <n v="80000"/>
    <x v="0"/>
    <x v="0"/>
    <x v="2"/>
  </r>
  <r>
    <n v="5936"/>
    <x v="2"/>
    <x v="2"/>
    <d v="1973-09-29T00:00:00"/>
    <d v="2009-06-27T00:00:00"/>
    <d v="1978-01-12T00:00:00"/>
    <x v="1"/>
    <x v="1"/>
    <n v="46"/>
    <n v="10"/>
    <n v="42"/>
    <n v="0"/>
    <n v="80000"/>
    <x v="0"/>
    <x v="0"/>
    <x v="1"/>
  </r>
  <r>
    <n v="5146"/>
    <x v="2"/>
    <x v="2"/>
    <d v="1951-11-30T00:00:00"/>
    <d v="2011-02-13T00:00:00"/>
    <d v="1952-10-10T00:00:00"/>
    <x v="0"/>
    <x v="2"/>
    <n v="68"/>
    <n v="9"/>
    <n v="67"/>
    <n v="1"/>
    <n v="80000"/>
    <x v="0"/>
    <x v="2"/>
    <x v="4"/>
  </r>
  <r>
    <n v="5024"/>
    <x v="0"/>
    <x v="2"/>
    <d v="2017-04-21T00:00:00"/>
    <d v="1989-02-22T00:00:00"/>
    <d v="1974-10-29T00:00:00"/>
    <x v="1"/>
    <x v="2"/>
    <n v="2"/>
    <n v="31"/>
    <n v="45"/>
    <n v="0"/>
    <n v="80000"/>
    <x v="2"/>
    <x v="0"/>
    <x v="0"/>
  </r>
  <r>
    <n v="2221"/>
    <x v="3"/>
    <x v="3"/>
    <d v="2015-02-20T00:00:00"/>
    <d v="2016-05-05T00:00:00"/>
    <d v="1980-05-05T00:00:00"/>
    <x v="2"/>
    <x v="1"/>
    <n v="5"/>
    <n v="3"/>
    <n v="39"/>
    <n v="0"/>
    <n v="80000"/>
    <x v="2"/>
    <x v="1"/>
    <x v="1"/>
  </r>
  <r>
    <n v="1321"/>
    <x v="3"/>
    <x v="2"/>
    <d v="2005-01-01T00:00:00"/>
    <d v="2016-05-05T00:00:00"/>
    <d v="1972-05-05T00:00:00"/>
    <x v="2"/>
    <x v="1"/>
    <n v="15"/>
    <n v="3"/>
    <n v="47"/>
    <n v="0"/>
    <n v="80000"/>
    <x v="0"/>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Cost1"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14" rowHeaderCaption="Role">
  <location ref="K5:L9" firstHeaderRow="1" firstDataRow="1" firstDataCol="1"/>
  <pivotFields count="16">
    <pivotField showAll="0"/>
    <pivotField showAll="0"/>
    <pivotField axis="axisRow" showAll="0">
      <items count="8">
        <item x="1"/>
        <item x="4"/>
        <item x="2"/>
        <item x="3"/>
        <item h="1" x="0"/>
        <item h="1" x="5"/>
        <item h="1" x="6"/>
        <item t="default"/>
      </items>
    </pivotField>
    <pivotField numFmtId="14" showAll="0"/>
    <pivotField showAll="0" defaultSubtotal="0"/>
    <pivotField numFmtId="14" showAll="0"/>
    <pivotField showAll="0"/>
    <pivotField showAll="0"/>
    <pivotField numFmtId="1" showAll="0"/>
    <pivotField numFmtId="1" showAll="0" defaultSubtotal="0"/>
    <pivotField showAll="0"/>
    <pivotField showAll="0"/>
    <pivotField dataField="1" showAll="0"/>
    <pivotField defaultSubtotal="0"/>
    <pivotField showAll="0" defaultSubtotal="0"/>
    <pivotField showAll="0" defaultSubtotal="0"/>
  </pivotFields>
  <rowFields count="1">
    <field x="2"/>
  </rowFields>
  <rowItems count="4">
    <i>
      <x/>
    </i>
    <i>
      <x v="1"/>
    </i>
    <i>
      <x v="2"/>
    </i>
    <i>
      <x v="3"/>
    </i>
  </rowItems>
  <colItems count="1">
    <i/>
  </colItems>
  <dataFields count="1">
    <dataField name="Total Cost" fld="12" baseField="0" baseItem="0" numFmtId="164"/>
  </dataFields>
  <formats count="7">
    <format dxfId="67">
      <pivotArea collapsedLevelsAreSubtotals="1" fieldPosition="0">
        <references count="2">
          <reference field="4294967294" count="1" selected="0">
            <x v="0"/>
          </reference>
          <reference field="2" count="1">
            <x v="0"/>
          </reference>
        </references>
      </pivotArea>
    </format>
    <format dxfId="66">
      <pivotArea outline="0" collapsedLevelsAreSubtotals="1" fieldPosition="0">
        <references count="1">
          <reference field="4294967294" count="1" selected="0">
            <x v="0"/>
          </reference>
        </references>
      </pivotArea>
    </format>
    <format dxfId="65">
      <pivotArea type="all" dataOnly="0" outline="0" fieldPosition="0"/>
    </format>
    <format dxfId="64">
      <pivotArea outline="0" collapsedLevelsAreSubtotals="1" fieldPosition="0"/>
    </format>
    <format dxfId="63">
      <pivotArea field="2" type="button" dataOnly="0" labelOnly="1" outline="0" axis="axisRow" fieldPosition="0"/>
    </format>
    <format dxfId="62">
      <pivotArea dataOnly="0" labelOnly="1" outline="0" axis="axisValues" fieldPosition="0"/>
    </format>
    <format dxfId="61">
      <pivotArea dataOnly="0" labelOnly="1" fieldPosition="0">
        <references count="1">
          <reference field="2" count="0"/>
        </references>
      </pivotArea>
    </format>
  </formats>
  <chartFormats count="3">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Tenure"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8">
  <location ref="H5:I9" firstHeaderRow="1" firstDataRow="1" firstDataCol="1"/>
  <pivotFields count="16">
    <pivotField showAll="0"/>
    <pivotField showAll="0">
      <items count="5">
        <item x="0"/>
        <item x="2"/>
        <item x="1"/>
        <item x="3"/>
        <item t="default"/>
      </items>
    </pivotField>
    <pivotField showAll="0">
      <items count="8">
        <item x="0"/>
        <item x="1"/>
        <item x="5"/>
        <item x="4"/>
        <item x="6"/>
        <item x="2"/>
        <item x="3"/>
        <item t="default"/>
      </items>
    </pivotField>
    <pivotField numFmtId="14" showAll="0"/>
    <pivotField showAll="0" defaultSubtotal="0"/>
    <pivotField numFmtId="14" showAll="0"/>
    <pivotField showAll="0"/>
    <pivotField showAll="0"/>
    <pivotField numFmtId="1" showAll="0"/>
    <pivotField numFmtId="1" showAll="0" defaultSubtotal="0"/>
    <pivotField showAll="0"/>
    <pivotField showAll="0"/>
    <pivotField showAll="0"/>
    <pivotField axis="axisRow" dataField="1" defaultSubtotal="0">
      <items count="4">
        <item m="1" x="3"/>
        <item x="2"/>
        <item x="1"/>
        <item x="0"/>
      </items>
    </pivotField>
    <pivotField showAll="0" defaultSubtotal="0"/>
    <pivotField showAll="0" defaultSubtotal="0"/>
  </pivotFields>
  <rowFields count="1">
    <field x="13"/>
  </rowFields>
  <rowItems count="4">
    <i>
      <x/>
    </i>
    <i>
      <x v="1"/>
    </i>
    <i>
      <x v="2"/>
    </i>
    <i>
      <x v="3"/>
    </i>
  </rowItems>
  <colItems count="1">
    <i/>
  </colItems>
  <dataFields count="1">
    <dataField name="Count of TenureBreakdown" fld="13" subtotal="count" baseField="0" baseItem="0"/>
  </dataFields>
  <formats count="5">
    <format dxfId="72">
      <pivotArea type="all" dataOnly="0" outline="0" fieldPosition="0"/>
    </format>
    <format dxfId="71">
      <pivotArea outline="0" collapsedLevelsAreSubtotals="1" fieldPosition="0"/>
    </format>
    <format dxfId="70">
      <pivotArea field="13" type="button" dataOnly="0" labelOnly="1" outline="0" axis="axisRow" fieldPosition="0"/>
    </format>
    <format dxfId="69">
      <pivotArea dataOnly="0" labelOnly="1" outline="0" axis="axisValues" fieldPosition="0"/>
    </format>
    <format dxfId="68">
      <pivotArea dataOnly="0" labelOnly="1" fieldPosition="0">
        <references count="1">
          <reference field="13" count="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RoleTenure"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8">
  <location ref="H12:I15" firstHeaderRow="1" firstDataRow="1" firstDataCol="1"/>
  <pivotFields count="16">
    <pivotField showAll="0"/>
    <pivotField showAll="0">
      <items count="5">
        <item x="0"/>
        <item x="2"/>
        <item x="1"/>
        <item x="3"/>
        <item t="default"/>
      </items>
    </pivotField>
    <pivotField showAll="0">
      <items count="8">
        <item x="0"/>
        <item x="1"/>
        <item x="5"/>
        <item x="4"/>
        <item x="6"/>
        <item x="2"/>
        <item x="3"/>
        <item t="default"/>
      </items>
    </pivotField>
    <pivotField numFmtId="14" showAll="0"/>
    <pivotField showAll="0" defaultSubtotal="0"/>
    <pivotField numFmtId="14" showAll="0"/>
    <pivotField showAll="0"/>
    <pivotField showAll="0"/>
    <pivotField numFmtId="1" showAll="0"/>
    <pivotField numFmtId="1" showAll="0" defaultSubtotal="0"/>
    <pivotField showAll="0"/>
    <pivotField showAll="0"/>
    <pivotField showAll="0"/>
    <pivotField defaultSubtotal="0"/>
    <pivotField axis="axisRow" dataField="1" defaultSubtotal="0">
      <items count="3">
        <item x="1"/>
        <item x="2"/>
        <item x="0"/>
      </items>
    </pivotField>
    <pivotField showAll="0" defaultSubtotal="0"/>
  </pivotFields>
  <rowFields count="1">
    <field x="14"/>
  </rowFields>
  <rowItems count="3">
    <i>
      <x/>
    </i>
    <i>
      <x v="1"/>
    </i>
    <i>
      <x v="2"/>
    </i>
  </rowItems>
  <colItems count="1">
    <i/>
  </colItems>
  <dataFields count="1">
    <dataField name="Count of RoleTenure" fld="14" subtotal="count" baseField="0" baseItem="0"/>
  </dataFields>
  <formats count="5">
    <format dxfId="77">
      <pivotArea type="all" dataOnly="0" outline="0" fieldPosition="0"/>
    </format>
    <format dxfId="76">
      <pivotArea outline="0" collapsedLevelsAreSubtotals="1" fieldPosition="0"/>
    </format>
    <format dxfId="75">
      <pivotArea field="14" type="button" dataOnly="0" labelOnly="1" outline="0" axis="axisRow" fieldPosition="0"/>
    </format>
    <format dxfId="74">
      <pivotArea dataOnly="0" labelOnly="1" outline="0" axis="axisValues" fieldPosition="0"/>
    </format>
    <format dxfId="73">
      <pivotArea dataOnly="0" labelOnly="1" fieldPosition="0">
        <references count="1">
          <reference field="14" count="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Diversity"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23">
  <location ref="B5:C8" firstHeaderRow="1" firstDataRow="1" firstDataCol="1"/>
  <pivotFields count="16">
    <pivotField dataField="1" showAll="0"/>
    <pivotField showAll="0">
      <items count="5">
        <item x="0"/>
        <item x="2"/>
        <item x="1"/>
        <item x="3"/>
        <item t="default"/>
      </items>
    </pivotField>
    <pivotField showAll="0">
      <items count="8">
        <item x="0"/>
        <item x="1"/>
        <item x="5"/>
        <item x="4"/>
        <item x="6"/>
        <item x="2"/>
        <item x="3"/>
        <item t="default"/>
      </items>
    </pivotField>
    <pivotField numFmtId="14" showAll="0"/>
    <pivotField showAll="0" defaultSubtotal="0"/>
    <pivotField numFmtId="14" showAll="0"/>
    <pivotField showAll="0"/>
    <pivotField axis="axisRow">
      <items count="4">
        <item x="2"/>
        <item x="0"/>
        <item x="1"/>
        <item t="default"/>
      </items>
    </pivotField>
    <pivotField numFmtId="1" showAll="0"/>
    <pivotField numFmtId="1" showAll="0" defaultSubtotal="0"/>
    <pivotField showAll="0"/>
    <pivotField showAll="0"/>
    <pivotField showAll="0"/>
    <pivotField showAll="0" defaultSubtotal="0"/>
    <pivotField showAll="0" defaultSubtotal="0"/>
    <pivotField showAll="0" defaultSubtotal="0"/>
  </pivotFields>
  <rowFields count="1">
    <field x="7"/>
  </rowFields>
  <rowItems count="3">
    <i>
      <x/>
    </i>
    <i>
      <x v="1"/>
    </i>
    <i>
      <x v="2"/>
    </i>
  </rowItems>
  <colItems count="1">
    <i/>
  </colItems>
  <dataFields count="1">
    <dataField name="Count of Empl ID" fld="0" subtotal="count" baseField="6" baseItem="2"/>
  </dataFields>
  <formats count="5">
    <format dxfId="82">
      <pivotArea type="all" dataOnly="0" outline="0" fieldPosition="0"/>
    </format>
    <format dxfId="81">
      <pivotArea outline="0" collapsedLevelsAreSubtotals="1" fieldPosition="0"/>
    </format>
    <format dxfId="80">
      <pivotArea field="7" type="button" dataOnly="0" labelOnly="1" outline="0" axis="axisRow" fieldPosition="0"/>
    </format>
    <format dxfId="79">
      <pivotArea dataOnly="0" labelOnly="1" outline="0" axis="axisValues" fieldPosition="0"/>
    </format>
    <format dxfId="78">
      <pivotArea dataOnly="0" labelOnly="1" fieldPosition="0">
        <references count="1">
          <reference field="7" count="0"/>
        </references>
      </pivotArea>
    </format>
  </formats>
  <chartFormats count="4">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7" count="1" selected="0">
            <x v="0"/>
          </reference>
        </references>
      </pivotArea>
    </chartFormat>
    <chartFormat chart="9" format="9">
      <pivotArea type="data" outline="0" fieldPosition="0">
        <references count="2">
          <reference field="4294967294" count="1" selected="0">
            <x v="0"/>
          </reference>
          <reference field="7" count="1" selected="0">
            <x v="1"/>
          </reference>
        </references>
      </pivotArea>
    </chartFormat>
    <chartFormat chart="9" format="10">
      <pivotArea type="data" outline="0" fieldPosition="0">
        <references count="2">
          <reference field="4294967294" count="1" selected="0">
            <x v="0"/>
          </reference>
          <reference field="7" count="1" selected="0">
            <x v="2"/>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PivotTable6"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9" rowHeaderCaption="Role">
  <location ref="T5:W12" firstHeaderRow="0" firstDataRow="1" firstDataCol="1"/>
  <pivotFields count="16">
    <pivotField showAll="0"/>
    <pivotField showAll="0"/>
    <pivotField axis="axisRow" showAll="0">
      <items count="8">
        <item x="1"/>
        <item x="4"/>
        <item x="2"/>
        <item x="3"/>
        <item x="0"/>
        <item x="5"/>
        <item x="6"/>
        <item t="default"/>
      </items>
    </pivotField>
    <pivotField numFmtId="14" showAll="0"/>
    <pivotField showAll="0" defaultSubtotal="0"/>
    <pivotField numFmtId="14" showAll="0"/>
    <pivotField showAll="0"/>
    <pivotField showAll="0"/>
    <pivotField numFmtId="1" showAll="0"/>
    <pivotField numFmtId="1" showAll="0" defaultSubtotal="0"/>
    <pivotField dataField="1" showAll="0"/>
    <pivotField dataField="1" showAll="0"/>
    <pivotField dataField="1" showAll="0"/>
    <pivotField defaultSubtotal="0"/>
    <pivotField showAll="0" defaultSubtotal="0"/>
    <pivotField showAll="0" defaultSubtotal="0"/>
  </pivotFields>
  <rowFields count="1">
    <field x="2"/>
  </rowFields>
  <rowItems count="7">
    <i>
      <x/>
    </i>
    <i>
      <x v="1"/>
    </i>
    <i>
      <x v="2"/>
    </i>
    <i>
      <x v="3"/>
    </i>
    <i>
      <x v="4"/>
    </i>
    <i>
      <x v="5"/>
    </i>
    <i>
      <x v="6"/>
    </i>
  </rowItems>
  <colFields count="1">
    <field x="-2"/>
  </colFields>
  <colItems count="3">
    <i>
      <x/>
    </i>
    <i i="1">
      <x v="1"/>
    </i>
    <i i="2">
      <x v="2"/>
    </i>
  </colItems>
  <dataFields count="3">
    <dataField name="Average _x000a_Age" fld="10" subtotal="average" baseField="2" baseItem="0" numFmtId="1"/>
    <dataField name="Number of Employees Over 55" fld="11" baseField="0" baseItem="0"/>
    <dataField name="Total Cost" fld="12" baseField="0" baseItem="0" numFmtId="164"/>
  </dataFields>
  <formats count="21">
    <format dxfId="103">
      <pivotArea outline="0" collapsedLevelsAreSubtotals="1" fieldPosition="0">
        <references count="1">
          <reference field="4294967294" count="1" selected="0">
            <x v="0"/>
          </reference>
        </references>
      </pivotArea>
    </format>
    <format dxfId="102">
      <pivotArea dataOnly="0" labelOnly="1" outline="0" fieldPosition="0">
        <references count="1">
          <reference field="4294967294" count="1">
            <x v="1"/>
          </reference>
        </references>
      </pivotArea>
    </format>
    <format dxfId="101">
      <pivotArea dataOnly="0" labelOnly="1" outline="0" fieldPosition="0">
        <references count="1">
          <reference field="4294967294" count="1">
            <x v="1"/>
          </reference>
        </references>
      </pivotArea>
    </format>
    <format dxfId="100">
      <pivotArea collapsedLevelsAreSubtotals="1" fieldPosition="0">
        <references count="2">
          <reference field="4294967294" count="1" selected="0">
            <x v="2"/>
          </reference>
          <reference field="2" count="1">
            <x v="0"/>
          </reference>
        </references>
      </pivotArea>
    </format>
    <format dxfId="99">
      <pivotArea outline="0" collapsedLevelsAreSubtotals="1" fieldPosition="0">
        <references count="1">
          <reference field="4294967294" count="1" selected="0">
            <x v="2"/>
          </reference>
        </references>
      </pivotArea>
    </format>
    <format dxfId="98">
      <pivotArea dataOnly="0" labelOnly="1" outline="0" fieldPosition="0">
        <references count="1">
          <reference field="4294967294" count="1">
            <x v="0"/>
          </reference>
        </references>
      </pivotArea>
    </format>
    <format dxfId="97">
      <pivotArea dataOnly="0" labelOnly="1" outline="0" fieldPosition="0">
        <references count="1">
          <reference field="4294967294" count="2">
            <x v="1"/>
            <x v="2"/>
          </reference>
        </references>
      </pivotArea>
    </format>
    <format dxfId="96">
      <pivotArea type="all" dataOnly="0" outline="0" fieldPosition="0"/>
    </format>
    <format dxfId="95">
      <pivotArea outline="0" collapsedLevelsAreSubtotals="1" fieldPosition="0"/>
    </format>
    <format dxfId="94">
      <pivotArea field="2" type="button" dataOnly="0" labelOnly="1" outline="0" axis="axisRow" fieldPosition="0"/>
    </format>
    <format dxfId="93">
      <pivotArea dataOnly="0" labelOnly="1" fieldPosition="0">
        <references count="1">
          <reference field="2" count="0"/>
        </references>
      </pivotArea>
    </format>
    <format dxfId="92">
      <pivotArea dataOnly="0" labelOnly="1" outline="0" fieldPosition="0">
        <references count="1">
          <reference field="4294967294" count="3">
            <x v="0"/>
            <x v="1"/>
            <x v="2"/>
          </reference>
        </references>
      </pivotArea>
    </format>
    <format dxfId="91">
      <pivotArea field="2" type="button" dataOnly="0" labelOnly="1" outline="0" axis="axisRow" fieldPosition="0"/>
    </format>
    <format dxfId="90">
      <pivotArea dataOnly="0" labelOnly="1" outline="0" fieldPosition="0">
        <references count="1">
          <reference field="4294967294" count="3">
            <x v="0"/>
            <x v="1"/>
            <x v="2"/>
          </reference>
        </references>
      </pivotArea>
    </format>
    <format dxfId="89">
      <pivotArea field="2" type="button" dataOnly="0" labelOnly="1" outline="0" axis="axisRow" fieldPosition="0"/>
    </format>
    <format dxfId="88">
      <pivotArea dataOnly="0" labelOnly="1" outline="0" fieldPosition="0">
        <references count="1">
          <reference field="4294967294" count="3">
            <x v="0"/>
            <x v="1"/>
            <x v="2"/>
          </reference>
        </references>
      </pivotArea>
    </format>
    <format dxfId="87">
      <pivotArea type="all" dataOnly="0" outline="0" fieldPosition="0"/>
    </format>
    <format dxfId="86">
      <pivotArea outline="0" collapsedLevelsAreSubtotals="1" fieldPosition="0"/>
    </format>
    <format dxfId="85">
      <pivotArea field="2" type="button" dataOnly="0" labelOnly="1" outline="0" axis="axisRow" fieldPosition="0"/>
    </format>
    <format dxfId="84">
      <pivotArea dataOnly="0" labelOnly="1" fieldPosition="0">
        <references count="1">
          <reference field="2" count="0"/>
        </references>
      </pivotArea>
    </format>
    <format dxfId="83">
      <pivotArea dataOnly="0" labelOnly="1" outline="0" fieldPosition="0">
        <references count="1">
          <reference field="4294967294" count="3">
            <x v="0"/>
            <x v="1"/>
            <x v="2"/>
          </reference>
        </references>
      </pivotArea>
    </format>
  </formats>
  <chartFormats count="3">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Gender"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13">
  <location ref="E5:F8" firstHeaderRow="1" firstDataRow="1" firstDataCol="1"/>
  <pivotFields count="16">
    <pivotField dataField="1" showAll="0"/>
    <pivotField showAll="0">
      <items count="5">
        <item x="0"/>
        <item x="2"/>
        <item x="1"/>
        <item x="3"/>
        <item t="default"/>
      </items>
    </pivotField>
    <pivotField showAll="0">
      <items count="8">
        <item x="0"/>
        <item x="1"/>
        <item x="5"/>
        <item x="4"/>
        <item x="6"/>
        <item x="2"/>
        <item x="3"/>
        <item t="default"/>
      </items>
    </pivotField>
    <pivotField numFmtId="14" showAll="0"/>
    <pivotField showAll="0" defaultSubtotal="0"/>
    <pivotField numFmtId="14" showAll="0"/>
    <pivotField axis="axisRow">
      <items count="4">
        <item x="1"/>
        <item x="0"/>
        <item x="2"/>
        <item t="default"/>
      </items>
    </pivotField>
    <pivotField showAll="0"/>
    <pivotField numFmtId="1" showAll="0"/>
    <pivotField numFmtId="1" showAll="0" defaultSubtotal="0"/>
    <pivotField showAll="0"/>
    <pivotField showAll="0"/>
    <pivotField showAll="0"/>
    <pivotField showAll="0" defaultSubtotal="0"/>
    <pivotField showAll="0" defaultSubtotal="0"/>
    <pivotField showAll="0" defaultSubtotal="0"/>
  </pivotFields>
  <rowFields count="1">
    <field x="6"/>
  </rowFields>
  <rowItems count="3">
    <i>
      <x/>
    </i>
    <i>
      <x v="1"/>
    </i>
    <i>
      <x v="2"/>
    </i>
  </rowItems>
  <colItems count="1">
    <i/>
  </colItems>
  <dataFields count="1">
    <dataField name="Count of Empl ID" fld="0" subtotal="count" baseField="6" baseItem="2"/>
  </dataFields>
  <formats count="5">
    <format dxfId="108">
      <pivotArea type="all" dataOnly="0" outline="0" fieldPosition="0"/>
    </format>
    <format dxfId="107">
      <pivotArea outline="0" collapsedLevelsAreSubtotals="1" fieldPosition="0"/>
    </format>
    <format dxfId="106">
      <pivotArea field="6" type="button" dataOnly="0" labelOnly="1" outline="0" axis="axisRow" fieldPosition="0"/>
    </format>
    <format dxfId="105">
      <pivotArea dataOnly="0" labelOnly="1" outline="0" axis="axisValues" fieldPosition="0"/>
    </format>
    <format dxfId="104">
      <pivotArea dataOnly="0" labelOnly="1" fieldPosition="0">
        <references count="1">
          <reference field="6" count="0"/>
        </references>
      </pivotArea>
    </format>
  </formats>
  <chartFormats count="5">
    <chartFormat chart="0" format="2"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6" count="1" selected="0">
            <x v="0"/>
          </reference>
        </references>
      </pivotArea>
    </chartFormat>
    <chartFormat chart="9" format="8">
      <pivotArea type="data" outline="0" fieldPosition="0">
        <references count="2">
          <reference field="4294967294" count="1" selected="0">
            <x v="0"/>
          </reference>
          <reference field="6" count="1" selected="0">
            <x v="1"/>
          </reference>
        </references>
      </pivotArea>
    </chartFormat>
    <chartFormat chart="9" format="9">
      <pivotArea type="data" outline="0" fieldPosition="0">
        <references count="2">
          <reference field="4294967294" count="1" selected="0">
            <x v="0"/>
          </reference>
          <reference field="6" count="1" selected="0">
            <x v="2"/>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Cost2" cacheId="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chartFormat="13" rowHeaderCaption="Role">
  <location ref="N5:O13" firstHeaderRow="1" firstDataRow="1" firstDataCol="1"/>
  <pivotFields count="16">
    <pivotField showAll="0"/>
    <pivotField showAll="0">
      <items count="5">
        <item x="0"/>
        <item x="2"/>
        <item x="1"/>
        <item x="3"/>
        <item t="default"/>
      </items>
    </pivotField>
    <pivotField axis="axisRow">
      <items count="8">
        <item x="1"/>
        <item x="4"/>
        <item x="2"/>
        <item x="3"/>
        <item x="0"/>
        <item x="5"/>
        <item x="6"/>
        <item t="default"/>
      </items>
    </pivotField>
    <pivotField numFmtId="14" showAll="0"/>
    <pivotField showAll="0" defaultSubtotal="0"/>
    <pivotField numFmtId="14" showAll="0"/>
    <pivotField showAll="0"/>
    <pivotField showAll="0"/>
    <pivotField numFmtId="1" showAll="0"/>
    <pivotField numFmtId="1" showAll="0" defaultSubtotal="0"/>
    <pivotField showAll="0"/>
    <pivotField showAll="0"/>
    <pivotField dataField="1" showAll="0"/>
    <pivotField defaultSubtotal="0"/>
    <pivotField showAll="0" defaultSubtotal="0"/>
    <pivotField showAll="0" defaultSubtotal="0"/>
  </pivotFields>
  <rowFields count="1">
    <field x="2"/>
  </rowFields>
  <rowItems count="8">
    <i>
      <x/>
    </i>
    <i>
      <x v="1"/>
    </i>
    <i>
      <x v="2"/>
    </i>
    <i>
      <x v="3"/>
    </i>
    <i>
      <x v="4"/>
    </i>
    <i>
      <x v="5"/>
    </i>
    <i>
      <x v="6"/>
    </i>
    <i t="grand">
      <x/>
    </i>
  </rowItems>
  <colItems count="1">
    <i/>
  </colItems>
  <dataFields count="1">
    <dataField name="Total Cost" fld="12" baseField="0" baseItem="0" numFmtId="164"/>
  </dataFields>
  <formats count="8">
    <format dxfId="116">
      <pivotArea collapsedLevelsAreSubtotals="1" fieldPosition="0">
        <references count="2">
          <reference field="4294967294" count="1" selected="0">
            <x v="0"/>
          </reference>
          <reference field="2" count="1">
            <x v="0"/>
          </reference>
        </references>
      </pivotArea>
    </format>
    <format dxfId="115">
      <pivotArea outline="0" collapsedLevelsAreSubtotals="1" fieldPosition="0">
        <references count="1">
          <reference field="4294967294" count="1" selected="0">
            <x v="0"/>
          </reference>
        </references>
      </pivotArea>
    </format>
    <format dxfId="114">
      <pivotArea type="all" dataOnly="0" outline="0" fieldPosition="0"/>
    </format>
    <format dxfId="113">
      <pivotArea outline="0" collapsedLevelsAreSubtotals="1" fieldPosition="0"/>
    </format>
    <format dxfId="112">
      <pivotArea field="2" type="button" dataOnly="0" labelOnly="1" outline="0" axis="axisRow" fieldPosition="0"/>
    </format>
    <format dxfId="111">
      <pivotArea dataOnly="0" labelOnly="1" outline="0" axis="axisValues" fieldPosition="0"/>
    </format>
    <format dxfId="110">
      <pivotArea dataOnly="0" labelOnly="1" fieldPosition="0">
        <references count="1">
          <reference field="2" count="0"/>
        </references>
      </pivotArea>
    </format>
    <format dxfId="109">
      <pivotArea dataOnly="0" labelOnly="1" grandRow="1" outline="0" fieldPosition="0"/>
    </format>
  </formats>
  <chartFormats count="3">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PivotTable4" cacheId="9"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chartFormat="12">
  <location ref="Q5:R11" firstHeaderRow="1" firstDataRow="1" firstDataCol="1"/>
  <pivotFields count="16">
    <pivotField showAll="0"/>
    <pivotField showAll="0">
      <items count="5">
        <item x="0"/>
        <item x="2"/>
        <item x="1"/>
        <item x="3"/>
        <item t="default"/>
      </items>
    </pivotField>
    <pivotField showAll="0">
      <items count="8">
        <item x="0"/>
        <item x="1"/>
        <item x="5"/>
        <item x="4"/>
        <item x="6"/>
        <item x="2"/>
        <item x="3"/>
        <item t="default"/>
      </items>
    </pivotField>
    <pivotField numFmtId="14" showAll="0"/>
    <pivotField showAll="0" defaultSubtotal="0"/>
    <pivotField numFmtId="14" showAll="0"/>
    <pivotField/>
    <pivotField showAll="0"/>
    <pivotField numFmtId="1" showAll="0"/>
    <pivotField numFmtId="1" showAll="0" defaultSubtotal="0"/>
    <pivotField showAll="0"/>
    <pivotField showAll="0"/>
    <pivotField showAll="0"/>
    <pivotField showAll="0" defaultSubtotal="0"/>
    <pivotField showAll="0" defaultSubtotal="0"/>
    <pivotField axis="axisRow" dataField="1" defaultSubtotal="0">
      <items count="6">
        <item m="1" x="5"/>
        <item x="3"/>
        <item x="1"/>
        <item x="0"/>
        <item x="2"/>
        <item x="4"/>
      </items>
    </pivotField>
  </pivotFields>
  <rowFields count="1">
    <field x="15"/>
  </rowFields>
  <rowItems count="6">
    <i>
      <x/>
    </i>
    <i>
      <x v="1"/>
    </i>
    <i>
      <x v="2"/>
    </i>
    <i>
      <x v="3"/>
    </i>
    <i>
      <x v="4"/>
    </i>
    <i>
      <x v="5"/>
    </i>
  </rowItems>
  <colItems count="1">
    <i/>
  </colItems>
  <dataFields count="1">
    <dataField name="Count of AgeBreakdown" fld="15" subtotal="count" baseField="0" baseItem="0"/>
  </dataFields>
  <formats count="5">
    <format dxfId="121">
      <pivotArea type="all" dataOnly="0" outline="0" fieldPosition="0"/>
    </format>
    <format dxfId="120">
      <pivotArea outline="0" collapsedLevelsAreSubtotals="1" fieldPosition="0"/>
    </format>
    <format dxfId="119">
      <pivotArea field="15" type="button" dataOnly="0" labelOnly="1" outline="0" axis="axisRow" fieldPosition="0"/>
    </format>
    <format dxfId="118">
      <pivotArea dataOnly="0" labelOnly="1" outline="0" axis="axisValues" fieldPosition="0"/>
    </format>
    <format dxfId="117">
      <pivotArea dataOnly="0" labelOnly="1" fieldPosition="0">
        <references count="1">
          <reference field="15" count="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 xr10:uid="{00000000-0013-0000-FFFF-FFFF01000000}" sourceName="Role">
  <pivotTables>
    <pivotTable tabId="26" name="Diversity"/>
    <pivotTable tabId="26" name="Gender"/>
    <pivotTable tabId="26" name="Tenure"/>
    <pivotTable tabId="26" name="Cost2"/>
    <pivotTable tabId="26" name="RoleTenure"/>
    <pivotTable tabId="26" name="PivotTable4"/>
  </pivotTables>
  <data>
    <tabular pivotCacheId="1">
      <items count="7">
        <i x="0" s="1"/>
        <i x="1" s="1"/>
        <i x="5" s="1"/>
        <i x="4" s="1"/>
        <i x="6"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000000-0013-0000-FFFF-FFFF02000000}" sourceName="Department">
  <pivotTables>
    <pivotTable tabId="26" name="Diversity"/>
    <pivotTable tabId="26" name="Cost2"/>
    <pivotTable tabId="26" name="Gender"/>
    <pivotTable tabId="26" name="RoleTenure"/>
    <pivotTable tabId="26" name="Tenure"/>
    <pivotTable tabId="26" name="PivotTable4"/>
  </pivotTables>
  <data>
    <tabular pivotCacheId="1">
      <items count="4">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le" xr10:uid="{00000000-0014-0000-FFFF-FFFF01000000}" cache="Slicer_Role" caption="Role" rowHeight="273050"/>
  <slicer name="Department" xr10:uid="{00000000-0014-0000-FFFF-FFFF02000000}" cache="Slicer_Department" caption="Department"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ployeeTable" displayName="EmployeeTable" ref="B5:Q67" totalsRowShown="0" headerRowDxfId="145" dataDxfId="144" headerRowCellStyle="Normal 2" dataCellStyle="Normal 2">
  <autoFilter ref="B5:Q67" xr:uid="{00000000-0009-0000-0100-000001000000}"/>
  <tableColumns count="16">
    <tableColumn id="1" xr3:uid="{00000000-0010-0000-0000-000001000000}" name="Empl ID" dataDxfId="143" dataCellStyle="Normal 2"/>
    <tableColumn id="7" xr3:uid="{00000000-0010-0000-0000-000007000000}" name="Department" dataDxfId="142" dataCellStyle="Normal 2"/>
    <tableColumn id="2" xr3:uid="{00000000-0010-0000-0000-000002000000}" name="Role" dataDxfId="141" dataCellStyle="Normal 2"/>
    <tableColumn id="3" xr3:uid="{00000000-0010-0000-0000-000003000000}" name="Hire Date" dataDxfId="140" dataCellStyle="Normal 2"/>
    <tableColumn id="12" xr3:uid="{00000000-0010-0000-0000-00000C000000}" name="Start Date in Role" dataDxfId="139" dataCellStyle="Normal 2"/>
    <tableColumn id="4" xr3:uid="{00000000-0010-0000-0000-000004000000}" name="DOB" dataDxfId="138" dataCellStyle="Normal 2"/>
    <tableColumn id="5" xr3:uid="{00000000-0010-0000-0000-000005000000}" name="Gender" dataDxfId="137" dataCellStyle="Normal 2"/>
    <tableColumn id="6" xr3:uid="{00000000-0010-0000-0000-000006000000}" name="Diversity" dataDxfId="136" dataCellStyle="Normal 2"/>
    <tableColumn id="8" xr3:uid="{00000000-0010-0000-0000-000008000000}" name="Tenure" dataDxfId="135" dataCellStyle="Normal 2">
      <calculatedColumnFormula>ROUNDDOWN(YEARFRAC(EmployeeTable[[#This Row],[Hire Date]], TODAY(), 1), 0)</calculatedColumnFormula>
    </tableColumn>
    <tableColumn id="14" xr3:uid="{00000000-0010-0000-0000-00000E000000}" name="Role Tenure" dataDxfId="134" dataCellStyle="Normal 2">
      <calculatedColumnFormula>ROUNDDOWN(YEARFRAC(EmployeeTable[[#This Row],[Start Date in Role]], TODAY(), 1), 0)</calculatedColumnFormula>
    </tableColumn>
    <tableColumn id="9" xr3:uid="{00000000-0010-0000-0000-000009000000}" name="Age" dataDxfId="133" dataCellStyle="Normal 2">
      <calculatedColumnFormula>ROUNDDOWN(YEARFRAC(EmployeeTable[[#This Row],[DOB]], TODAY(), 1), 0)</calculatedColumnFormula>
    </tableColumn>
    <tableColumn id="10" xr3:uid="{00000000-0010-0000-0000-00000A000000}" name="Over 55" dataDxfId="132" dataCellStyle="Normal 2">
      <calculatedColumnFormula>IF(EmployeeTable[[#This Row],[Age]]&gt;54,1,0)</calculatedColumnFormula>
    </tableColumn>
    <tableColumn id="11" xr3:uid="{00000000-0010-0000-0000-00000B000000}" name="Salary" dataDxfId="131" dataCellStyle="Normal 2">
      <calculatedColumnFormula>VLOOKUP(EmployeeTable[[#This Row],[Role]],'3. Setup &amp; Role Data'!$G$9:$I$109,2,FALSE)</calculatedColumnFormula>
    </tableColumn>
    <tableColumn id="13" xr3:uid="{00000000-0010-0000-0000-00000D000000}" name="TenureBreakdown" dataDxfId="130" dataCellStyle="Normal 2">
      <calculatedColumnFormula>IF(EmployeeTable[[#This Row],[Tenure]]&lt;2,"1 Year or Less",IF(EmployeeTable[[#This Row],[Tenure]]&lt;=5,"2-5 Years",IF(EmployeeTable[[#This Row],[Tenure]]&lt;10,"6-10 Years","10+ Years")))</calculatedColumnFormula>
    </tableColumn>
    <tableColumn id="15" xr3:uid="{00000000-0010-0000-0000-00000F000000}" name="RoleTenure" dataDxfId="129" dataCellStyle="Normal 2">
      <calculatedColumnFormula>IF(EmployeeTable[[#This Row],[Role Tenure]]&lt;2,"1 Year or Less",IF(EmployeeTable[[#This Row],[Role Tenure]]&lt;=5,"2-5 Years",IF(EmployeeTable[[#This Row],[Role Tenure]]&lt;10,"6-10 Years","10+ Years")))</calculatedColumnFormula>
    </tableColumn>
    <tableColumn id="16" xr3:uid="{00000000-0010-0000-0000-000010000000}" name="AgeBreakdown" dataDxfId="128" dataCellStyle="Normal 2">
      <calculatedColumnFormula>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calculatedColumnFormula>
    </tableColumn>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HR Colors">
      <a:dk1>
        <a:srgbClr val="333333"/>
      </a:dk1>
      <a:lt1>
        <a:srgbClr val="FFFFFF"/>
      </a:lt1>
      <a:dk2>
        <a:srgbClr val="222222"/>
      </a:dk2>
      <a:lt2>
        <a:srgbClr val="EEEEEE"/>
      </a:lt2>
      <a:accent1>
        <a:srgbClr val="29475F"/>
      </a:accent1>
      <a:accent2>
        <a:srgbClr val="6293BB"/>
      </a:accent2>
      <a:accent3>
        <a:srgbClr val="CADAE8"/>
      </a:accent3>
      <a:accent4>
        <a:srgbClr val="CEF2D1"/>
      </a:accent4>
      <a:accent5>
        <a:srgbClr val="85DBE2"/>
      </a:accent5>
      <a:accent6>
        <a:srgbClr val="CAA4CC"/>
      </a:accent6>
      <a:hlink>
        <a:srgbClr val="2576B7"/>
      </a:hlink>
      <a:folHlink>
        <a:srgbClr val="C77709"/>
      </a:folHlink>
    </a:clrScheme>
    <a:fontScheme name="Custom MCO">
      <a:majorFont>
        <a:latin typeface="Segoe UI"/>
        <a:ea typeface=""/>
        <a:cs typeface=""/>
      </a:majorFont>
      <a:minorFont>
        <a:latin typeface="Segoe U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D6"/>
  <sheetViews>
    <sheetView showGridLines="0" tabSelected="1" zoomScaleNormal="100" workbookViewId="0"/>
  </sheetViews>
  <sheetFormatPr defaultColWidth="9" defaultRowHeight="12.75" x14ac:dyDescent="0.2"/>
  <cols>
    <col min="1" max="1" width="2.5" style="1" customWidth="1"/>
    <col min="2" max="2" width="104.25" style="1" customWidth="1"/>
    <col min="3" max="16384" width="9" style="1"/>
  </cols>
  <sheetData>
    <row r="1" spans="2:4" ht="84" customHeight="1" x14ac:dyDescent="0.2"/>
    <row r="2" spans="2:4" ht="33.75" customHeight="1" x14ac:dyDescent="0.2">
      <c r="B2" s="3" t="s">
        <v>196</v>
      </c>
    </row>
    <row r="3" spans="2:4" ht="210" customHeight="1" x14ac:dyDescent="0.2">
      <c r="B3" s="224" t="s">
        <v>195</v>
      </c>
    </row>
    <row r="6" spans="2:4" ht="65.25" customHeight="1" x14ac:dyDescent="0.2">
      <c r="B6" s="4" t="s">
        <v>0</v>
      </c>
      <c r="C6" s="4"/>
      <c r="D6" s="4"/>
    </row>
  </sheetData>
  <pageMargins left="0.75" right="0.75" top="1" bottom="1" header="0.5" footer="0.5"/>
  <pageSetup paperSize="5" orientation="landscape"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G81"/>
  <sheetViews>
    <sheetView showGridLines="0" zoomScaleNormal="100" workbookViewId="0"/>
  </sheetViews>
  <sheetFormatPr defaultColWidth="9" defaultRowHeight="14.25" x14ac:dyDescent="0.2"/>
  <cols>
    <col min="1" max="1" width="2.5" style="15" customWidth="1"/>
    <col min="2" max="2" width="23.875" style="15" customWidth="1"/>
    <col min="3" max="3" width="26.25" style="15" customWidth="1"/>
    <col min="4" max="4" width="22.875" style="15" customWidth="1"/>
    <col min="5" max="5" width="16.75" style="15" customWidth="1"/>
    <col min="6" max="7" width="19.5" style="15" customWidth="1"/>
    <col min="8" max="16384" width="9" style="15"/>
  </cols>
  <sheetData>
    <row r="1" spans="2:7" ht="15" customHeight="1" x14ac:dyDescent="0.2"/>
    <row r="2" spans="2:7" ht="33.75" customHeight="1" x14ac:dyDescent="0.2">
      <c r="B2" s="12" t="s">
        <v>1</v>
      </c>
      <c r="C2" s="213"/>
      <c r="D2" s="213"/>
      <c r="E2" s="213"/>
      <c r="F2" s="213"/>
      <c r="G2" s="213"/>
    </row>
    <row r="3" spans="2:7" ht="137.25" customHeight="1" x14ac:dyDescent="0.2">
      <c r="B3" s="232" t="s">
        <v>2</v>
      </c>
      <c r="C3" s="232"/>
      <c r="D3" s="232"/>
      <c r="E3" s="232"/>
      <c r="F3" s="232"/>
      <c r="G3" s="232"/>
    </row>
    <row r="4" spans="2:7" ht="13.5" customHeight="1" thickBot="1" x14ac:dyDescent="0.25">
      <c r="B4" s="4"/>
      <c r="C4" s="4"/>
      <c r="E4" s="4"/>
      <c r="F4" s="4"/>
      <c r="G4" s="4"/>
    </row>
    <row r="5" spans="2:7" ht="16.5" customHeight="1" x14ac:dyDescent="0.2">
      <c r="B5" s="225" t="s">
        <v>3</v>
      </c>
      <c r="C5" s="230" t="s">
        <v>4</v>
      </c>
      <c r="D5" s="231"/>
      <c r="E5" s="227" t="s">
        <v>5</v>
      </c>
      <c r="F5" s="228"/>
      <c r="G5" s="229"/>
    </row>
    <row r="6" spans="2:7" ht="15" thickBot="1" x14ac:dyDescent="0.25">
      <c r="B6" s="226"/>
      <c r="C6" s="143" t="s">
        <v>6</v>
      </c>
      <c r="D6" s="144" t="s">
        <v>7</v>
      </c>
      <c r="E6" s="145" t="s">
        <v>8</v>
      </c>
      <c r="F6" s="145" t="s">
        <v>9</v>
      </c>
      <c r="G6" s="143" t="s">
        <v>10</v>
      </c>
    </row>
    <row r="7" spans="2:7" ht="16.5" customHeight="1" x14ac:dyDescent="0.2">
      <c r="B7" s="79" t="s">
        <v>11</v>
      </c>
      <c r="C7" s="6" t="s">
        <v>12</v>
      </c>
      <c r="D7" s="162" t="s">
        <v>13</v>
      </c>
      <c r="E7" s="6" t="s">
        <v>14</v>
      </c>
      <c r="F7" s="6" t="s">
        <v>15</v>
      </c>
      <c r="G7" s="80" t="s">
        <v>14</v>
      </c>
    </row>
    <row r="8" spans="2:7" x14ac:dyDescent="0.2">
      <c r="B8" s="81" t="s">
        <v>16</v>
      </c>
      <c r="C8" s="7" t="s">
        <v>12</v>
      </c>
      <c r="D8" s="163" t="s">
        <v>13</v>
      </c>
      <c r="E8" s="7" t="s">
        <v>14</v>
      </c>
      <c r="F8" s="7" t="s">
        <v>14</v>
      </c>
      <c r="G8" s="82"/>
    </row>
    <row r="9" spans="2:7" x14ac:dyDescent="0.2">
      <c r="B9" s="81" t="s">
        <v>17</v>
      </c>
      <c r="C9" s="8" t="s">
        <v>18</v>
      </c>
      <c r="D9" s="163" t="s">
        <v>19</v>
      </c>
      <c r="E9" s="8" t="s">
        <v>15</v>
      </c>
      <c r="F9" s="8" t="s">
        <v>14</v>
      </c>
      <c r="G9" s="83"/>
    </row>
    <row r="10" spans="2:7" x14ac:dyDescent="0.2">
      <c r="B10" s="81"/>
      <c r="C10" s="8"/>
      <c r="D10" s="164"/>
      <c r="E10" s="8"/>
      <c r="F10" s="8"/>
      <c r="G10" s="83"/>
    </row>
    <row r="11" spans="2:7" x14ac:dyDescent="0.2">
      <c r="B11" s="81"/>
      <c r="C11" s="8"/>
      <c r="D11" s="164"/>
      <c r="E11" s="8"/>
      <c r="F11" s="8"/>
      <c r="G11" s="83"/>
    </row>
    <row r="12" spans="2:7" x14ac:dyDescent="0.2">
      <c r="B12" s="81"/>
      <c r="C12" s="7"/>
      <c r="D12" s="163"/>
      <c r="E12" s="7"/>
      <c r="F12" s="7"/>
      <c r="G12" s="84"/>
    </row>
    <row r="13" spans="2:7" x14ac:dyDescent="0.2">
      <c r="B13" s="81"/>
      <c r="C13" s="7"/>
      <c r="D13" s="164"/>
      <c r="E13" s="7"/>
      <c r="F13" s="7"/>
      <c r="G13" s="84"/>
    </row>
    <row r="14" spans="2:7" x14ac:dyDescent="0.2">
      <c r="B14" s="81"/>
      <c r="C14" s="7"/>
      <c r="D14" s="164"/>
      <c r="E14" s="7"/>
      <c r="F14" s="7"/>
      <c r="G14" s="84"/>
    </row>
    <row r="15" spans="2:7" x14ac:dyDescent="0.2">
      <c r="B15" s="85"/>
      <c r="C15" s="10"/>
      <c r="D15" s="164"/>
      <c r="E15" s="10"/>
      <c r="F15" s="10"/>
      <c r="G15" s="84"/>
    </row>
    <row r="16" spans="2:7" x14ac:dyDescent="0.2">
      <c r="B16" s="85"/>
      <c r="C16" s="10"/>
      <c r="D16" s="164"/>
      <c r="E16" s="10"/>
      <c r="F16" s="10"/>
      <c r="G16" s="84"/>
    </row>
    <row r="17" spans="2:7" ht="16.5" customHeight="1" x14ac:dyDescent="0.2">
      <c r="B17" s="85"/>
      <c r="C17" s="10"/>
      <c r="D17" s="164"/>
      <c r="E17" s="10"/>
      <c r="F17" s="10"/>
      <c r="G17" s="84"/>
    </row>
    <row r="18" spans="2:7" x14ac:dyDescent="0.2">
      <c r="B18" s="85"/>
      <c r="C18" s="10"/>
      <c r="D18" s="164"/>
      <c r="E18" s="10"/>
      <c r="F18" s="10"/>
      <c r="G18" s="84"/>
    </row>
    <row r="19" spans="2:7" x14ac:dyDescent="0.2">
      <c r="B19" s="85"/>
      <c r="C19" s="10"/>
      <c r="D19" s="164"/>
      <c r="E19" s="10"/>
      <c r="F19" s="10"/>
      <c r="G19" s="84"/>
    </row>
    <row r="20" spans="2:7" x14ac:dyDescent="0.2">
      <c r="B20" s="85"/>
      <c r="C20" s="10"/>
      <c r="D20" s="164"/>
      <c r="E20" s="10"/>
      <c r="F20" s="10"/>
      <c r="G20" s="84"/>
    </row>
    <row r="21" spans="2:7" x14ac:dyDescent="0.2">
      <c r="B21" s="85"/>
      <c r="C21" s="10"/>
      <c r="D21" s="164"/>
      <c r="E21" s="10"/>
      <c r="F21" s="10"/>
      <c r="G21" s="84"/>
    </row>
    <row r="22" spans="2:7" x14ac:dyDescent="0.2">
      <c r="B22" s="85"/>
      <c r="C22" s="10"/>
      <c r="D22" s="164"/>
      <c r="E22" s="10"/>
      <c r="F22" s="10"/>
      <c r="G22" s="84"/>
    </row>
    <row r="23" spans="2:7" x14ac:dyDescent="0.2">
      <c r="B23" s="85"/>
      <c r="C23" s="10"/>
      <c r="D23" s="164"/>
      <c r="E23" s="10"/>
      <c r="F23" s="10"/>
      <c r="G23" s="84"/>
    </row>
    <row r="24" spans="2:7" x14ac:dyDescent="0.2">
      <c r="B24" s="85"/>
      <c r="C24" s="9"/>
      <c r="D24" s="164"/>
      <c r="E24" s="9"/>
      <c r="F24" s="9"/>
      <c r="G24" s="86"/>
    </row>
    <row r="25" spans="2:7" x14ac:dyDescent="0.2">
      <c r="B25" s="85"/>
      <c r="C25" s="9"/>
      <c r="D25" s="164"/>
      <c r="E25" s="9"/>
      <c r="F25" s="9"/>
      <c r="G25" s="86"/>
    </row>
    <row r="26" spans="2:7" x14ac:dyDescent="0.2">
      <c r="B26" s="85"/>
      <c r="C26" s="9"/>
      <c r="D26" s="164"/>
      <c r="E26" s="9"/>
      <c r="F26" s="9"/>
      <c r="G26" s="86"/>
    </row>
    <row r="27" spans="2:7" x14ac:dyDescent="0.2">
      <c r="B27" s="85"/>
      <c r="C27" s="9"/>
      <c r="D27" s="164"/>
      <c r="E27" s="9"/>
      <c r="F27" s="9"/>
      <c r="G27" s="86"/>
    </row>
    <row r="28" spans="2:7" x14ac:dyDescent="0.2">
      <c r="B28" s="85"/>
      <c r="C28" s="9"/>
      <c r="D28" s="164"/>
      <c r="E28" s="9"/>
      <c r="F28" s="9"/>
      <c r="G28" s="86"/>
    </row>
    <row r="29" spans="2:7" x14ac:dyDescent="0.2">
      <c r="B29" s="85"/>
      <c r="C29" s="9"/>
      <c r="D29" s="164"/>
      <c r="E29" s="9"/>
      <c r="F29" s="9"/>
      <c r="G29" s="86"/>
    </row>
    <row r="30" spans="2:7" x14ac:dyDescent="0.2">
      <c r="B30" s="85"/>
      <c r="C30" s="9"/>
      <c r="D30" s="164"/>
      <c r="E30" s="9"/>
      <c r="F30" s="9"/>
      <c r="G30" s="86"/>
    </row>
    <row r="31" spans="2:7" x14ac:dyDescent="0.2">
      <c r="B31" s="85"/>
      <c r="C31" s="9"/>
      <c r="D31" s="164"/>
      <c r="E31" s="9"/>
      <c r="F31" s="9"/>
      <c r="G31" s="86"/>
    </row>
    <row r="32" spans="2:7" x14ac:dyDescent="0.2">
      <c r="B32" s="85"/>
      <c r="C32" s="9"/>
      <c r="D32" s="164"/>
      <c r="E32" s="9"/>
      <c r="F32" s="9"/>
      <c r="G32" s="86"/>
    </row>
    <row r="33" spans="2:7" x14ac:dyDescent="0.2">
      <c r="B33" s="85"/>
      <c r="C33" s="9"/>
      <c r="D33" s="164"/>
      <c r="E33" s="9"/>
      <c r="F33" s="9"/>
      <c r="G33" s="86"/>
    </row>
    <row r="34" spans="2:7" x14ac:dyDescent="0.2">
      <c r="B34" s="85"/>
      <c r="C34" s="9"/>
      <c r="D34" s="164"/>
      <c r="E34" s="9"/>
      <c r="F34" s="9"/>
      <c r="G34" s="86"/>
    </row>
    <row r="35" spans="2:7" x14ac:dyDescent="0.2">
      <c r="B35" s="85"/>
      <c r="C35" s="9"/>
      <c r="D35" s="164"/>
      <c r="E35" s="9"/>
      <c r="F35" s="9"/>
      <c r="G35" s="86"/>
    </row>
    <row r="36" spans="2:7" x14ac:dyDescent="0.2">
      <c r="B36" s="85"/>
      <c r="C36" s="9"/>
      <c r="D36" s="164"/>
      <c r="E36" s="9"/>
      <c r="F36" s="9"/>
      <c r="G36" s="86"/>
    </row>
    <row r="37" spans="2:7" x14ac:dyDescent="0.2">
      <c r="B37" s="85"/>
      <c r="C37" s="9"/>
      <c r="D37" s="164"/>
      <c r="E37" s="9"/>
      <c r="F37" s="9"/>
      <c r="G37" s="86"/>
    </row>
    <row r="38" spans="2:7" x14ac:dyDescent="0.2">
      <c r="B38" s="85"/>
      <c r="C38" s="9"/>
      <c r="D38" s="164"/>
      <c r="E38" s="9"/>
      <c r="F38" s="9"/>
      <c r="G38" s="86"/>
    </row>
    <row r="39" spans="2:7" x14ac:dyDescent="0.2">
      <c r="B39" s="85"/>
      <c r="C39" s="9"/>
      <c r="D39" s="164"/>
      <c r="E39" s="9"/>
      <c r="F39" s="9"/>
      <c r="G39" s="86"/>
    </row>
    <row r="40" spans="2:7" x14ac:dyDescent="0.2">
      <c r="B40" s="85"/>
      <c r="C40" s="9"/>
      <c r="D40" s="164"/>
      <c r="E40" s="9"/>
      <c r="F40" s="9"/>
      <c r="G40" s="86"/>
    </row>
    <row r="41" spans="2:7" x14ac:dyDescent="0.2">
      <c r="B41" s="85"/>
      <c r="C41" s="9"/>
      <c r="D41" s="164"/>
      <c r="E41" s="9"/>
      <c r="F41" s="9"/>
      <c r="G41" s="86"/>
    </row>
    <row r="42" spans="2:7" x14ac:dyDescent="0.2">
      <c r="B42" s="85"/>
      <c r="C42" s="9"/>
      <c r="D42" s="164"/>
      <c r="E42" s="9"/>
      <c r="F42" s="9"/>
      <c r="G42" s="86"/>
    </row>
    <row r="43" spans="2:7" x14ac:dyDescent="0.2">
      <c r="B43" s="85"/>
      <c r="C43" s="9"/>
      <c r="D43" s="164"/>
      <c r="E43" s="9"/>
      <c r="F43" s="9"/>
      <c r="G43" s="86"/>
    </row>
    <row r="44" spans="2:7" x14ac:dyDescent="0.2">
      <c r="B44" s="85"/>
      <c r="C44" s="9"/>
      <c r="D44" s="164"/>
      <c r="E44" s="9"/>
      <c r="F44" s="9"/>
      <c r="G44" s="86"/>
    </row>
    <row r="45" spans="2:7" x14ac:dyDescent="0.2">
      <c r="B45" s="85"/>
      <c r="C45" s="9"/>
      <c r="D45" s="164"/>
      <c r="E45" s="9"/>
      <c r="F45" s="9"/>
      <c r="G45" s="86"/>
    </row>
    <row r="46" spans="2:7" x14ac:dyDescent="0.2">
      <c r="B46" s="85"/>
      <c r="C46" s="9"/>
      <c r="D46" s="164"/>
      <c r="E46" s="9"/>
      <c r="F46" s="9"/>
      <c r="G46" s="86"/>
    </row>
    <row r="47" spans="2:7" x14ac:dyDescent="0.2">
      <c r="B47" s="85"/>
      <c r="C47" s="9"/>
      <c r="D47" s="164"/>
      <c r="E47" s="9"/>
      <c r="F47" s="9"/>
      <c r="G47" s="86"/>
    </row>
    <row r="48" spans="2:7" x14ac:dyDescent="0.2">
      <c r="B48" s="85"/>
      <c r="C48" s="9"/>
      <c r="D48" s="164"/>
      <c r="E48" s="9"/>
      <c r="F48" s="9"/>
      <c r="G48" s="86"/>
    </row>
    <row r="49" spans="2:7" x14ac:dyDescent="0.2">
      <c r="B49" s="85"/>
      <c r="C49" s="9"/>
      <c r="D49" s="164"/>
      <c r="E49" s="9"/>
      <c r="F49" s="9"/>
      <c r="G49" s="86"/>
    </row>
    <row r="50" spans="2:7" x14ac:dyDescent="0.2">
      <c r="B50" s="85"/>
      <c r="C50" s="9"/>
      <c r="D50" s="164"/>
      <c r="E50" s="9"/>
      <c r="F50" s="9"/>
      <c r="G50" s="86"/>
    </row>
    <row r="51" spans="2:7" x14ac:dyDescent="0.2">
      <c r="B51" s="85"/>
      <c r="C51" s="9"/>
      <c r="D51" s="164"/>
      <c r="E51" s="9"/>
      <c r="F51" s="9"/>
      <c r="G51" s="86"/>
    </row>
    <row r="52" spans="2:7" x14ac:dyDescent="0.2">
      <c r="B52" s="85"/>
      <c r="C52" s="9"/>
      <c r="D52" s="164"/>
      <c r="E52" s="9"/>
      <c r="F52" s="9"/>
      <c r="G52" s="86"/>
    </row>
    <row r="53" spans="2:7" x14ac:dyDescent="0.2">
      <c r="B53" s="85"/>
      <c r="C53" s="9"/>
      <c r="D53" s="164"/>
      <c r="E53" s="9"/>
      <c r="F53" s="9"/>
      <c r="G53" s="86"/>
    </row>
    <row r="54" spans="2:7" x14ac:dyDescent="0.2">
      <c r="B54" s="85"/>
      <c r="C54" s="9"/>
      <c r="D54" s="164"/>
      <c r="E54" s="9"/>
      <c r="F54" s="9"/>
      <c r="G54" s="86"/>
    </row>
    <row r="55" spans="2:7" x14ac:dyDescent="0.2">
      <c r="B55" s="85"/>
      <c r="C55" s="9"/>
      <c r="D55" s="164"/>
      <c r="E55" s="9"/>
      <c r="F55" s="9"/>
      <c r="G55" s="86"/>
    </row>
    <row r="56" spans="2:7" x14ac:dyDescent="0.2">
      <c r="B56" s="85"/>
      <c r="C56" s="9"/>
      <c r="D56" s="164"/>
      <c r="E56" s="9"/>
      <c r="F56" s="9"/>
      <c r="G56" s="86"/>
    </row>
    <row r="57" spans="2:7" x14ac:dyDescent="0.2">
      <c r="B57" s="85"/>
      <c r="C57" s="9"/>
      <c r="D57" s="164"/>
      <c r="E57" s="9"/>
      <c r="F57" s="9"/>
      <c r="G57" s="86"/>
    </row>
    <row r="58" spans="2:7" x14ac:dyDescent="0.2">
      <c r="B58" s="85"/>
      <c r="C58" s="9"/>
      <c r="D58" s="164"/>
      <c r="E58" s="9"/>
      <c r="F58" s="9"/>
      <c r="G58" s="86"/>
    </row>
    <row r="59" spans="2:7" x14ac:dyDescent="0.2">
      <c r="B59" s="85"/>
      <c r="C59" s="9"/>
      <c r="D59" s="164"/>
      <c r="E59" s="9"/>
      <c r="F59" s="9"/>
      <c r="G59" s="86"/>
    </row>
    <row r="60" spans="2:7" x14ac:dyDescent="0.2">
      <c r="B60" s="85"/>
      <c r="C60" s="9"/>
      <c r="D60" s="164"/>
      <c r="E60" s="9"/>
      <c r="F60" s="9"/>
      <c r="G60" s="86"/>
    </row>
    <row r="61" spans="2:7" x14ac:dyDescent="0.2">
      <c r="B61" s="85"/>
      <c r="C61" s="9"/>
      <c r="D61" s="164"/>
      <c r="E61" s="9"/>
      <c r="F61" s="9"/>
      <c r="G61" s="86"/>
    </row>
    <row r="62" spans="2:7" x14ac:dyDescent="0.2">
      <c r="B62" s="85"/>
      <c r="C62" s="9"/>
      <c r="D62" s="164"/>
      <c r="E62" s="9"/>
      <c r="F62" s="9"/>
      <c r="G62" s="86"/>
    </row>
    <row r="63" spans="2:7" x14ac:dyDescent="0.2">
      <c r="B63" s="85"/>
      <c r="C63" s="9"/>
      <c r="D63" s="164"/>
      <c r="E63" s="9"/>
      <c r="F63" s="9"/>
      <c r="G63" s="86"/>
    </row>
    <row r="64" spans="2:7" x14ac:dyDescent="0.2">
      <c r="B64" s="85"/>
      <c r="C64" s="9"/>
      <c r="D64" s="164"/>
      <c r="E64" s="9"/>
      <c r="F64" s="9"/>
      <c r="G64" s="86"/>
    </row>
    <row r="65" spans="2:7" x14ac:dyDescent="0.2">
      <c r="B65" s="85"/>
      <c r="C65" s="9"/>
      <c r="D65" s="164"/>
      <c r="E65" s="9"/>
      <c r="F65" s="9"/>
      <c r="G65" s="86"/>
    </row>
    <row r="66" spans="2:7" x14ac:dyDescent="0.2">
      <c r="B66" s="85"/>
      <c r="C66" s="9"/>
      <c r="D66" s="164"/>
      <c r="E66" s="9"/>
      <c r="F66" s="9"/>
      <c r="G66" s="86"/>
    </row>
    <row r="67" spans="2:7" x14ac:dyDescent="0.2">
      <c r="B67" s="85"/>
      <c r="C67" s="9"/>
      <c r="D67" s="164"/>
      <c r="E67" s="9"/>
      <c r="F67" s="9"/>
      <c r="G67" s="86"/>
    </row>
    <row r="68" spans="2:7" x14ac:dyDescent="0.2">
      <c r="B68" s="85"/>
      <c r="C68" s="9"/>
      <c r="D68" s="164"/>
      <c r="E68" s="9"/>
      <c r="F68" s="9"/>
      <c r="G68" s="86"/>
    </row>
    <row r="69" spans="2:7" x14ac:dyDescent="0.2">
      <c r="B69" s="85"/>
      <c r="C69" s="9"/>
      <c r="D69" s="164"/>
      <c r="E69" s="9"/>
      <c r="F69" s="9"/>
      <c r="G69" s="86"/>
    </row>
    <row r="70" spans="2:7" x14ac:dyDescent="0.2">
      <c r="B70" s="85"/>
      <c r="C70" s="9"/>
      <c r="D70" s="164"/>
      <c r="E70" s="9"/>
      <c r="F70" s="9"/>
      <c r="G70" s="86"/>
    </row>
    <row r="71" spans="2:7" x14ac:dyDescent="0.2">
      <c r="B71" s="85"/>
      <c r="C71" s="9"/>
      <c r="D71" s="164"/>
      <c r="E71" s="9"/>
      <c r="F71" s="9"/>
      <c r="G71" s="86"/>
    </row>
    <row r="72" spans="2:7" x14ac:dyDescent="0.2">
      <c r="B72" s="85"/>
      <c r="C72" s="9"/>
      <c r="D72" s="164"/>
      <c r="E72" s="9"/>
      <c r="F72" s="9"/>
      <c r="G72" s="86"/>
    </row>
    <row r="73" spans="2:7" x14ac:dyDescent="0.2">
      <c r="B73" s="85"/>
      <c r="C73" s="9"/>
      <c r="D73" s="164"/>
      <c r="E73" s="9"/>
      <c r="F73" s="9"/>
      <c r="G73" s="86"/>
    </row>
    <row r="74" spans="2:7" x14ac:dyDescent="0.2">
      <c r="B74" s="85"/>
      <c r="C74" s="9"/>
      <c r="D74" s="164"/>
      <c r="E74" s="9"/>
      <c r="F74" s="9"/>
      <c r="G74" s="86"/>
    </row>
    <row r="75" spans="2:7" x14ac:dyDescent="0.2">
      <c r="B75" s="85"/>
      <c r="C75" s="9"/>
      <c r="D75" s="164"/>
      <c r="E75" s="9"/>
      <c r="F75" s="9"/>
      <c r="G75" s="86"/>
    </row>
    <row r="76" spans="2:7" x14ac:dyDescent="0.2">
      <c r="B76" s="85"/>
      <c r="C76" s="9"/>
      <c r="D76" s="164"/>
      <c r="E76" s="9"/>
      <c r="F76" s="9"/>
      <c r="G76" s="86"/>
    </row>
    <row r="77" spans="2:7" x14ac:dyDescent="0.2">
      <c r="B77" s="85"/>
      <c r="C77" s="9"/>
      <c r="D77" s="164"/>
      <c r="E77" s="9"/>
      <c r="F77" s="9"/>
      <c r="G77" s="86"/>
    </row>
    <row r="78" spans="2:7" x14ac:dyDescent="0.2">
      <c r="B78" s="85"/>
      <c r="C78" s="9"/>
      <c r="D78" s="164"/>
      <c r="E78" s="9"/>
      <c r="F78" s="9"/>
      <c r="G78" s="86"/>
    </row>
    <row r="79" spans="2:7" x14ac:dyDescent="0.2">
      <c r="B79" s="85"/>
      <c r="C79" s="9"/>
      <c r="D79" s="164"/>
      <c r="E79" s="9"/>
      <c r="F79" s="9"/>
      <c r="G79" s="86"/>
    </row>
    <row r="80" spans="2:7" x14ac:dyDescent="0.2">
      <c r="B80" s="85"/>
      <c r="C80" s="9"/>
      <c r="D80" s="164"/>
      <c r="E80" s="9"/>
      <c r="F80" s="9"/>
      <c r="G80" s="86"/>
    </row>
    <row r="81" spans="2:7" ht="15" thickBot="1" x14ac:dyDescent="0.25">
      <c r="B81" s="87"/>
      <c r="C81" s="11"/>
      <c r="D81" s="165"/>
      <c r="E81" s="11"/>
      <c r="F81" s="11"/>
      <c r="G81" s="88"/>
    </row>
  </sheetData>
  <mergeCells count="4">
    <mergeCell ref="B5:B6"/>
    <mergeCell ref="E5:G5"/>
    <mergeCell ref="C5:D5"/>
    <mergeCell ref="B3:G3"/>
  </mergeCells>
  <dataValidations count="1">
    <dataValidation type="list" allowBlank="1" showInputMessage="1" showErrorMessage="1" sqref="E7:G81" xr:uid="{00000000-0002-0000-0100-000000000000}">
      <formula1>quality</formula1>
    </dataValidation>
  </dataValidations>
  <pageMargins left="0.7" right="0.7" top="0.75" bottom="0.75" header="0.3" footer="0.3"/>
  <pageSetup paperSize="5" orientation="landscape"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N109"/>
  <sheetViews>
    <sheetView showGridLines="0" zoomScaleNormal="100" workbookViewId="0"/>
  </sheetViews>
  <sheetFormatPr defaultColWidth="9" defaultRowHeight="12.75" x14ac:dyDescent="0.2"/>
  <cols>
    <col min="1" max="1" width="2.5" style="1" customWidth="1"/>
    <col min="2" max="2" width="2.75" style="1" customWidth="1"/>
    <col min="3" max="3" width="32.125" style="1" customWidth="1"/>
    <col min="4" max="4" width="2.5" style="1" customWidth="1"/>
    <col min="5" max="5" width="18.375" style="1" customWidth="1"/>
    <col min="6" max="6" width="2.5" style="1" customWidth="1"/>
    <col min="7" max="7" width="32.125" style="1" customWidth="1"/>
    <col min="8" max="8" width="15.875" style="1" customWidth="1"/>
    <col min="9" max="9" width="11.875" style="1" customWidth="1"/>
    <col min="10" max="10" width="7.125" style="1" bestFit="1" customWidth="1"/>
    <col min="11" max="11" width="9.125" style="1" bestFit="1" customWidth="1"/>
    <col min="12" max="12" width="15.375" style="1" bestFit="1" customWidth="1"/>
    <col min="13" max="13" width="10.75" style="1" bestFit="1" customWidth="1"/>
    <col min="14" max="14" width="23" style="1" bestFit="1" customWidth="1"/>
    <col min="15" max="16384" width="9" style="1"/>
  </cols>
  <sheetData>
    <row r="1" spans="2:14" ht="15" customHeight="1" x14ac:dyDescent="0.2"/>
    <row r="2" spans="2:14" ht="33.75" customHeight="1" x14ac:dyDescent="0.2">
      <c r="B2" s="236" t="s">
        <v>20</v>
      </c>
      <c r="C2" s="236"/>
      <c r="D2" s="236"/>
      <c r="E2" s="236"/>
      <c r="F2" s="236"/>
      <c r="G2" s="236"/>
      <c r="H2" s="236"/>
      <c r="I2" s="236"/>
      <c r="J2" s="236"/>
      <c r="K2" s="236"/>
      <c r="L2" s="236"/>
      <c r="M2" s="236"/>
      <c r="N2" s="236"/>
    </row>
    <row r="3" spans="2:14" ht="75" customHeight="1" x14ac:dyDescent="0.2">
      <c r="B3" s="237" t="s">
        <v>21</v>
      </c>
      <c r="C3" s="237"/>
      <c r="D3" s="237"/>
      <c r="E3" s="237"/>
      <c r="F3" s="237"/>
      <c r="G3" s="237"/>
      <c r="H3" s="237"/>
      <c r="I3" s="237"/>
      <c r="J3" s="237"/>
      <c r="K3" s="237"/>
      <c r="L3" s="237"/>
      <c r="M3" s="237"/>
      <c r="N3" s="237"/>
    </row>
    <row r="4" spans="2:14" ht="60.75" customHeight="1" x14ac:dyDescent="0.2"/>
    <row r="5" spans="2:14" ht="22.5" customHeight="1" x14ac:dyDescent="0.2">
      <c r="C5" s="14"/>
      <c r="D5" s="5"/>
      <c r="F5" s="5"/>
    </row>
    <row r="6" spans="2:14" ht="45" customHeight="1" thickBot="1" x14ac:dyDescent="0.25"/>
    <row r="7" spans="2:14" ht="25.5" customHeight="1" x14ac:dyDescent="0.2">
      <c r="C7" s="149" t="s">
        <v>22</v>
      </c>
      <c r="E7" s="149" t="s">
        <v>23</v>
      </c>
      <c r="G7" s="233" t="s">
        <v>24</v>
      </c>
      <c r="H7" s="231"/>
      <c r="I7" s="234"/>
      <c r="J7" s="235" t="s">
        <v>25</v>
      </c>
      <c r="K7" s="235"/>
      <c r="L7" s="235"/>
      <c r="M7" s="235"/>
      <c r="N7" s="142" t="s">
        <v>26</v>
      </c>
    </row>
    <row r="8" spans="2:14" ht="20.100000000000001" customHeight="1" x14ac:dyDescent="0.2">
      <c r="C8" s="173" t="s">
        <v>27</v>
      </c>
      <c r="E8" s="173" t="s">
        <v>28</v>
      </c>
      <c r="G8" s="106" t="s">
        <v>29</v>
      </c>
      <c r="H8" s="107" t="s">
        <v>30</v>
      </c>
      <c r="I8" s="147" t="s">
        <v>31</v>
      </c>
      <c r="J8" s="99" t="s">
        <v>16</v>
      </c>
      <c r="K8" s="99" t="s">
        <v>32</v>
      </c>
      <c r="L8" s="99" t="s">
        <v>33</v>
      </c>
      <c r="M8" s="99" t="s">
        <v>34</v>
      </c>
      <c r="N8" s="148" t="s">
        <v>35</v>
      </c>
    </row>
    <row r="9" spans="2:14" ht="20.100000000000001" customHeight="1" x14ac:dyDescent="0.2">
      <c r="C9" s="174" t="s">
        <v>36</v>
      </c>
      <c r="E9" s="174" t="s">
        <v>37</v>
      </c>
      <c r="G9" s="176" t="s">
        <v>38</v>
      </c>
      <c r="H9" s="177">
        <v>80000</v>
      </c>
      <c r="I9" s="91">
        <f>SUM(J9:M9)-N9</f>
        <v>8.0000000000000016E-2</v>
      </c>
      <c r="J9" s="178">
        <v>0.05</v>
      </c>
      <c r="K9" s="178">
        <v>0.02</v>
      </c>
      <c r="L9" s="178">
        <v>0.02</v>
      </c>
      <c r="M9" s="178">
        <v>0</v>
      </c>
      <c r="N9" s="184">
        <v>0.01</v>
      </c>
    </row>
    <row r="10" spans="2:14" ht="20.100000000000001" customHeight="1" x14ac:dyDescent="0.2">
      <c r="C10" s="175" t="s">
        <v>39</v>
      </c>
      <c r="E10" s="175" t="s">
        <v>40</v>
      </c>
      <c r="G10" s="179" t="s">
        <v>41</v>
      </c>
      <c r="H10" s="180">
        <v>40000</v>
      </c>
      <c r="I10" s="90">
        <f t="shared" ref="I10:I73" si="0">SUM(J10:M10)-N10</f>
        <v>0.11000000000000001</v>
      </c>
      <c r="J10" s="181">
        <v>0.08</v>
      </c>
      <c r="K10" s="181">
        <v>0.02</v>
      </c>
      <c r="L10" s="181">
        <v>0.02</v>
      </c>
      <c r="M10" s="181">
        <v>0</v>
      </c>
      <c r="N10" s="185">
        <v>0.01</v>
      </c>
    </row>
    <row r="11" spans="2:14" ht="20.100000000000001" customHeight="1" x14ac:dyDescent="0.2">
      <c r="C11" s="174" t="s">
        <v>42</v>
      </c>
      <c r="E11" s="174" t="s">
        <v>43</v>
      </c>
      <c r="G11" s="176" t="s">
        <v>44</v>
      </c>
      <c r="H11" s="177">
        <v>60000</v>
      </c>
      <c r="I11" s="91">
        <f t="shared" si="0"/>
        <v>0.08</v>
      </c>
      <c r="J11" s="178">
        <v>7.0000000000000007E-2</v>
      </c>
      <c r="K11" s="178">
        <v>0.02</v>
      </c>
      <c r="L11" s="178">
        <v>0.01</v>
      </c>
      <c r="M11" s="178">
        <v>0.01</v>
      </c>
      <c r="N11" s="184">
        <v>0.03</v>
      </c>
    </row>
    <row r="12" spans="2:14" ht="20.100000000000001" customHeight="1" x14ac:dyDescent="0.2">
      <c r="C12" s="175" t="s">
        <v>45</v>
      </c>
      <c r="E12" s="22"/>
      <c r="G12" s="179" t="s">
        <v>46</v>
      </c>
      <c r="H12" s="180">
        <v>120000</v>
      </c>
      <c r="I12" s="90">
        <f t="shared" si="0"/>
        <v>0.13</v>
      </c>
      <c r="J12" s="181">
        <v>0.06</v>
      </c>
      <c r="K12" s="181">
        <v>0.02</v>
      </c>
      <c r="L12" s="181">
        <v>0.03</v>
      </c>
      <c r="M12" s="181">
        <v>0.03</v>
      </c>
      <c r="N12" s="185">
        <v>0.01</v>
      </c>
    </row>
    <row r="13" spans="2:14" ht="20.100000000000001" customHeight="1" x14ac:dyDescent="0.2">
      <c r="C13" s="21"/>
      <c r="E13" s="21"/>
      <c r="G13" s="176" t="s">
        <v>47</v>
      </c>
      <c r="H13" s="177">
        <v>80000</v>
      </c>
      <c r="I13" s="91">
        <f t="shared" si="0"/>
        <v>0.08</v>
      </c>
      <c r="J13" s="178">
        <v>0.04</v>
      </c>
      <c r="K13" s="178">
        <v>0.02</v>
      </c>
      <c r="L13" s="178">
        <v>0.02</v>
      </c>
      <c r="M13" s="178">
        <v>0.02</v>
      </c>
      <c r="N13" s="184">
        <v>0.02</v>
      </c>
    </row>
    <row r="14" spans="2:14" ht="20.100000000000001" customHeight="1" x14ac:dyDescent="0.2">
      <c r="C14" s="22"/>
      <c r="E14" s="22"/>
      <c r="G14" s="179" t="s">
        <v>27</v>
      </c>
      <c r="H14" s="180">
        <v>65000</v>
      </c>
      <c r="I14" s="90">
        <f t="shared" si="0"/>
        <v>0.05</v>
      </c>
      <c r="J14" s="181">
        <v>0.03</v>
      </c>
      <c r="K14" s="181">
        <v>0.02</v>
      </c>
      <c r="L14" s="181">
        <v>0.01</v>
      </c>
      <c r="M14" s="181">
        <v>0</v>
      </c>
      <c r="N14" s="185">
        <v>0.01</v>
      </c>
    </row>
    <row r="15" spans="2:14" ht="20.100000000000001" customHeight="1" x14ac:dyDescent="0.2">
      <c r="C15" s="21"/>
      <c r="E15" s="21"/>
      <c r="G15" s="182" t="s">
        <v>48</v>
      </c>
      <c r="H15" s="177">
        <v>150000</v>
      </c>
      <c r="I15" s="91">
        <f t="shared" si="0"/>
        <v>0.17</v>
      </c>
      <c r="J15" s="178">
        <v>0.1</v>
      </c>
      <c r="K15" s="178">
        <v>0.05</v>
      </c>
      <c r="L15" s="178">
        <v>0.05</v>
      </c>
      <c r="M15" s="178">
        <v>0</v>
      </c>
      <c r="N15" s="184">
        <v>0.03</v>
      </c>
    </row>
    <row r="16" spans="2:14" ht="20.100000000000001" customHeight="1" x14ac:dyDescent="0.2">
      <c r="C16" s="22"/>
      <c r="E16" s="22"/>
      <c r="G16" s="183" t="s">
        <v>49</v>
      </c>
      <c r="H16" s="180">
        <v>100000</v>
      </c>
      <c r="I16" s="90">
        <f t="shared" si="0"/>
        <v>0.13</v>
      </c>
      <c r="J16" s="181">
        <v>0.05</v>
      </c>
      <c r="K16" s="181">
        <v>0.05</v>
      </c>
      <c r="L16" s="181">
        <v>0.03</v>
      </c>
      <c r="M16" s="181">
        <v>0.02</v>
      </c>
      <c r="N16" s="185">
        <v>0.02</v>
      </c>
    </row>
    <row r="17" spans="3:14" ht="20.100000000000001" customHeight="1" x14ac:dyDescent="0.2">
      <c r="C17" s="21"/>
      <c r="E17" s="21"/>
      <c r="G17" s="20"/>
      <c r="H17" s="27"/>
      <c r="I17" s="91">
        <f t="shared" si="0"/>
        <v>0</v>
      </c>
      <c r="J17" s="77"/>
      <c r="K17" s="77"/>
      <c r="L17" s="77"/>
      <c r="M17" s="77"/>
      <c r="N17" s="103"/>
    </row>
    <row r="18" spans="3:14" ht="20.100000000000001" customHeight="1" x14ac:dyDescent="0.2">
      <c r="C18" s="22"/>
      <c r="E18" s="22"/>
      <c r="G18" s="19"/>
      <c r="H18" s="28"/>
      <c r="I18" s="90">
        <f t="shared" si="0"/>
        <v>0</v>
      </c>
      <c r="J18" s="78"/>
      <c r="K18" s="78"/>
      <c r="L18" s="78"/>
      <c r="M18" s="78"/>
      <c r="N18" s="104"/>
    </row>
    <row r="19" spans="3:14" ht="20.100000000000001" customHeight="1" x14ac:dyDescent="0.2">
      <c r="C19" s="21"/>
      <c r="E19" s="21"/>
      <c r="G19" s="20"/>
      <c r="H19" s="27"/>
      <c r="I19" s="91">
        <f t="shared" si="0"/>
        <v>0</v>
      </c>
      <c r="J19" s="77"/>
      <c r="K19" s="77"/>
      <c r="L19" s="77"/>
      <c r="M19" s="77"/>
      <c r="N19" s="103"/>
    </row>
    <row r="20" spans="3:14" ht="20.100000000000001" customHeight="1" x14ac:dyDescent="0.2">
      <c r="C20" s="22"/>
      <c r="E20" s="22"/>
      <c r="G20" s="19"/>
      <c r="H20" s="28"/>
      <c r="I20" s="90">
        <f t="shared" si="0"/>
        <v>0</v>
      </c>
      <c r="J20" s="78"/>
      <c r="K20" s="78"/>
      <c r="L20" s="78"/>
      <c r="M20" s="78"/>
      <c r="N20" s="104"/>
    </row>
    <row r="21" spans="3:14" ht="20.100000000000001" customHeight="1" x14ac:dyDescent="0.2">
      <c r="C21" s="21"/>
      <c r="E21" s="21"/>
      <c r="G21" s="20"/>
      <c r="H21" s="27"/>
      <c r="I21" s="91">
        <f t="shared" si="0"/>
        <v>0</v>
      </c>
      <c r="J21" s="77"/>
      <c r="K21" s="77"/>
      <c r="L21" s="77"/>
      <c r="M21" s="77"/>
      <c r="N21" s="103"/>
    </row>
    <row r="22" spans="3:14" ht="20.100000000000001" customHeight="1" thickBot="1" x14ac:dyDescent="0.25">
      <c r="C22" s="22"/>
      <c r="E22" s="146"/>
      <c r="G22" s="19"/>
      <c r="H22" s="28"/>
      <c r="I22" s="90">
        <f t="shared" si="0"/>
        <v>0</v>
      </c>
      <c r="J22" s="78"/>
      <c r="K22" s="78"/>
      <c r="L22" s="78"/>
      <c r="M22" s="78"/>
      <c r="N22" s="104"/>
    </row>
    <row r="23" spans="3:14" ht="20.100000000000001" customHeight="1" x14ac:dyDescent="0.2">
      <c r="C23" s="21"/>
      <c r="G23" s="20"/>
      <c r="H23" s="27"/>
      <c r="I23" s="91">
        <f t="shared" si="0"/>
        <v>0</v>
      </c>
      <c r="J23" s="77"/>
      <c r="K23" s="77"/>
      <c r="L23" s="77"/>
      <c r="M23" s="77"/>
      <c r="N23" s="103"/>
    </row>
    <row r="24" spans="3:14" ht="20.100000000000001" customHeight="1" x14ac:dyDescent="0.2">
      <c r="C24" s="22"/>
      <c r="G24" s="19"/>
      <c r="H24" s="28"/>
      <c r="I24" s="90">
        <f t="shared" si="0"/>
        <v>0</v>
      </c>
      <c r="J24" s="78"/>
      <c r="K24" s="78"/>
      <c r="L24" s="78"/>
      <c r="M24" s="78"/>
      <c r="N24" s="104"/>
    </row>
    <row r="25" spans="3:14" ht="20.100000000000001" customHeight="1" x14ac:dyDescent="0.2">
      <c r="C25" s="21"/>
      <c r="G25" s="20"/>
      <c r="H25" s="27"/>
      <c r="I25" s="91">
        <f t="shared" si="0"/>
        <v>0</v>
      </c>
      <c r="J25" s="77"/>
      <c r="K25" s="77"/>
      <c r="L25" s="77"/>
      <c r="M25" s="77"/>
      <c r="N25" s="103"/>
    </row>
    <row r="26" spans="3:14" ht="20.100000000000001" customHeight="1" x14ac:dyDescent="0.2">
      <c r="C26" s="22"/>
      <c r="G26" s="19"/>
      <c r="H26" s="28"/>
      <c r="I26" s="90">
        <f t="shared" si="0"/>
        <v>0</v>
      </c>
      <c r="J26" s="78"/>
      <c r="K26" s="78"/>
      <c r="L26" s="78"/>
      <c r="M26" s="78"/>
      <c r="N26" s="104"/>
    </row>
    <row r="27" spans="3:14" ht="20.100000000000001" customHeight="1" x14ac:dyDescent="0.2">
      <c r="C27" s="21"/>
      <c r="G27" s="20"/>
      <c r="H27" s="27"/>
      <c r="I27" s="91">
        <f t="shared" si="0"/>
        <v>0</v>
      </c>
      <c r="J27" s="77"/>
      <c r="K27" s="77"/>
      <c r="L27" s="77"/>
      <c r="M27" s="77"/>
      <c r="N27" s="103"/>
    </row>
    <row r="28" spans="3:14" ht="20.100000000000001" customHeight="1" x14ac:dyDescent="0.2">
      <c r="C28" s="22"/>
      <c r="G28" s="19"/>
      <c r="H28" s="28"/>
      <c r="I28" s="90">
        <f t="shared" si="0"/>
        <v>0</v>
      </c>
      <c r="J28" s="78"/>
      <c r="K28" s="78"/>
      <c r="L28" s="78"/>
      <c r="M28" s="78"/>
      <c r="N28" s="104"/>
    </row>
    <row r="29" spans="3:14" ht="20.100000000000001" customHeight="1" x14ac:dyDescent="0.2">
      <c r="C29" s="21"/>
      <c r="G29" s="20"/>
      <c r="H29" s="27"/>
      <c r="I29" s="91">
        <f t="shared" si="0"/>
        <v>0</v>
      </c>
      <c r="J29" s="77"/>
      <c r="K29" s="77"/>
      <c r="L29" s="77"/>
      <c r="M29" s="77"/>
      <c r="N29" s="103"/>
    </row>
    <row r="30" spans="3:14" ht="20.100000000000001" customHeight="1" x14ac:dyDescent="0.2">
      <c r="C30" s="22"/>
      <c r="G30" s="19"/>
      <c r="H30" s="28"/>
      <c r="I30" s="90">
        <f t="shared" si="0"/>
        <v>0</v>
      </c>
      <c r="J30" s="78"/>
      <c r="K30" s="78"/>
      <c r="L30" s="78"/>
      <c r="M30" s="78"/>
      <c r="N30" s="104"/>
    </row>
    <row r="31" spans="3:14" ht="20.100000000000001" customHeight="1" x14ac:dyDescent="0.2">
      <c r="C31" s="21"/>
      <c r="G31" s="20"/>
      <c r="H31" s="27"/>
      <c r="I31" s="91">
        <f t="shared" si="0"/>
        <v>0</v>
      </c>
      <c r="J31" s="77"/>
      <c r="K31" s="77"/>
      <c r="L31" s="77"/>
      <c r="M31" s="77"/>
      <c r="N31" s="103"/>
    </row>
    <row r="32" spans="3:14" ht="20.100000000000001" customHeight="1" x14ac:dyDescent="0.2">
      <c r="C32" s="22"/>
      <c r="G32" s="19"/>
      <c r="H32" s="28"/>
      <c r="I32" s="90">
        <f t="shared" si="0"/>
        <v>0</v>
      </c>
      <c r="J32" s="78"/>
      <c r="K32" s="78"/>
      <c r="L32" s="78"/>
      <c r="M32" s="78"/>
      <c r="N32" s="104"/>
    </row>
    <row r="33" spans="3:14" ht="20.100000000000001" customHeight="1" x14ac:dyDescent="0.2">
      <c r="C33" s="21"/>
      <c r="G33" s="20"/>
      <c r="H33" s="27"/>
      <c r="I33" s="91">
        <f t="shared" si="0"/>
        <v>0</v>
      </c>
      <c r="J33" s="77"/>
      <c r="K33" s="77"/>
      <c r="L33" s="77"/>
      <c r="M33" s="77"/>
      <c r="N33" s="103"/>
    </row>
    <row r="34" spans="3:14" ht="20.100000000000001" customHeight="1" x14ac:dyDescent="0.2">
      <c r="C34" s="22"/>
      <c r="G34" s="19"/>
      <c r="H34" s="28"/>
      <c r="I34" s="90">
        <f t="shared" si="0"/>
        <v>0</v>
      </c>
      <c r="J34" s="78"/>
      <c r="K34" s="78"/>
      <c r="L34" s="78"/>
      <c r="M34" s="78"/>
      <c r="N34" s="104"/>
    </row>
    <row r="35" spans="3:14" ht="20.100000000000001" customHeight="1" x14ac:dyDescent="0.2">
      <c r="C35" s="21"/>
      <c r="G35" s="20"/>
      <c r="H35" s="27"/>
      <c r="I35" s="91">
        <f t="shared" si="0"/>
        <v>0</v>
      </c>
      <c r="J35" s="77"/>
      <c r="K35" s="77"/>
      <c r="L35" s="77"/>
      <c r="M35" s="77"/>
      <c r="N35" s="103"/>
    </row>
    <row r="36" spans="3:14" ht="20.100000000000001" customHeight="1" x14ac:dyDescent="0.2">
      <c r="C36" s="22"/>
      <c r="G36" s="19"/>
      <c r="H36" s="28"/>
      <c r="I36" s="90">
        <f t="shared" si="0"/>
        <v>0</v>
      </c>
      <c r="J36" s="78"/>
      <c r="K36" s="78"/>
      <c r="L36" s="78"/>
      <c r="M36" s="78"/>
      <c r="N36" s="104"/>
    </row>
    <row r="37" spans="3:14" ht="20.100000000000001" customHeight="1" x14ac:dyDescent="0.2">
      <c r="C37" s="21"/>
      <c r="G37" s="20"/>
      <c r="H37" s="27"/>
      <c r="I37" s="91">
        <f t="shared" si="0"/>
        <v>0</v>
      </c>
      <c r="J37" s="77"/>
      <c r="K37" s="77"/>
      <c r="L37" s="77"/>
      <c r="M37" s="77"/>
      <c r="N37" s="103"/>
    </row>
    <row r="38" spans="3:14" ht="20.100000000000001" customHeight="1" x14ac:dyDescent="0.2">
      <c r="C38" s="22"/>
      <c r="G38" s="19"/>
      <c r="H38" s="28"/>
      <c r="I38" s="90">
        <f t="shared" si="0"/>
        <v>0</v>
      </c>
      <c r="J38" s="78"/>
      <c r="K38" s="78"/>
      <c r="L38" s="78"/>
      <c r="M38" s="78"/>
      <c r="N38" s="104"/>
    </row>
    <row r="39" spans="3:14" ht="20.100000000000001" customHeight="1" x14ac:dyDescent="0.2">
      <c r="C39" s="21"/>
      <c r="G39" s="20"/>
      <c r="H39" s="27"/>
      <c r="I39" s="91">
        <f t="shared" si="0"/>
        <v>0</v>
      </c>
      <c r="J39" s="77"/>
      <c r="K39" s="77"/>
      <c r="L39" s="77"/>
      <c r="M39" s="77"/>
      <c r="N39" s="103"/>
    </row>
    <row r="40" spans="3:14" ht="20.100000000000001" customHeight="1" x14ac:dyDescent="0.2">
      <c r="C40" s="22"/>
      <c r="G40" s="19"/>
      <c r="H40" s="28"/>
      <c r="I40" s="90">
        <f t="shared" si="0"/>
        <v>0</v>
      </c>
      <c r="J40" s="78"/>
      <c r="K40" s="78"/>
      <c r="L40" s="78"/>
      <c r="M40" s="78"/>
      <c r="N40" s="104"/>
    </row>
    <row r="41" spans="3:14" ht="20.100000000000001" customHeight="1" x14ac:dyDescent="0.2">
      <c r="C41" s="21"/>
      <c r="G41" s="20"/>
      <c r="H41" s="27"/>
      <c r="I41" s="91">
        <f t="shared" si="0"/>
        <v>0</v>
      </c>
      <c r="J41" s="77"/>
      <c r="K41" s="77"/>
      <c r="L41" s="77"/>
      <c r="M41" s="77"/>
      <c r="N41" s="103"/>
    </row>
    <row r="42" spans="3:14" ht="20.100000000000001" customHeight="1" x14ac:dyDescent="0.2">
      <c r="C42" s="22"/>
      <c r="G42" s="19"/>
      <c r="H42" s="28"/>
      <c r="I42" s="90">
        <f t="shared" si="0"/>
        <v>0</v>
      </c>
      <c r="J42" s="78"/>
      <c r="K42" s="78"/>
      <c r="L42" s="78"/>
      <c r="M42" s="78"/>
      <c r="N42" s="104"/>
    </row>
    <row r="43" spans="3:14" ht="20.100000000000001" customHeight="1" x14ac:dyDescent="0.2">
      <c r="C43" s="21"/>
      <c r="G43" s="20"/>
      <c r="H43" s="27"/>
      <c r="I43" s="91">
        <f t="shared" si="0"/>
        <v>0</v>
      </c>
      <c r="J43" s="77"/>
      <c r="K43" s="77"/>
      <c r="L43" s="77"/>
      <c r="M43" s="77"/>
      <c r="N43" s="103"/>
    </row>
    <row r="44" spans="3:14" ht="20.100000000000001" customHeight="1" x14ac:dyDescent="0.2">
      <c r="C44" s="22"/>
      <c r="G44" s="19"/>
      <c r="H44" s="28"/>
      <c r="I44" s="90">
        <f t="shared" si="0"/>
        <v>0</v>
      </c>
      <c r="J44" s="78"/>
      <c r="K44" s="78"/>
      <c r="L44" s="78"/>
      <c r="M44" s="78"/>
      <c r="N44" s="104"/>
    </row>
    <row r="45" spans="3:14" ht="20.100000000000001" customHeight="1" x14ac:dyDescent="0.2">
      <c r="C45" s="21"/>
      <c r="G45" s="20"/>
      <c r="H45" s="27"/>
      <c r="I45" s="91">
        <f t="shared" si="0"/>
        <v>0</v>
      </c>
      <c r="J45" s="77"/>
      <c r="K45" s="77"/>
      <c r="L45" s="77"/>
      <c r="M45" s="77"/>
      <c r="N45" s="103"/>
    </row>
    <row r="46" spans="3:14" ht="20.100000000000001" customHeight="1" x14ac:dyDescent="0.2">
      <c r="C46" s="22"/>
      <c r="G46" s="19"/>
      <c r="H46" s="28"/>
      <c r="I46" s="90">
        <f t="shared" si="0"/>
        <v>0</v>
      </c>
      <c r="J46" s="78"/>
      <c r="K46" s="78"/>
      <c r="L46" s="78"/>
      <c r="M46" s="78"/>
      <c r="N46" s="104"/>
    </row>
    <row r="47" spans="3:14" ht="20.100000000000001" customHeight="1" x14ac:dyDescent="0.2">
      <c r="C47" s="21"/>
      <c r="G47" s="20"/>
      <c r="H47" s="27"/>
      <c r="I47" s="91">
        <f t="shared" si="0"/>
        <v>0</v>
      </c>
      <c r="J47" s="77"/>
      <c r="K47" s="77"/>
      <c r="L47" s="77"/>
      <c r="M47" s="77"/>
      <c r="N47" s="103"/>
    </row>
    <row r="48" spans="3:14" ht="20.100000000000001" customHeight="1" x14ac:dyDescent="0.2">
      <c r="C48" s="22"/>
      <c r="G48" s="19"/>
      <c r="H48" s="28"/>
      <c r="I48" s="90">
        <f t="shared" si="0"/>
        <v>0</v>
      </c>
      <c r="J48" s="78"/>
      <c r="K48" s="78"/>
      <c r="L48" s="78"/>
      <c r="M48" s="78"/>
      <c r="N48" s="104"/>
    </row>
    <row r="49" spans="3:14" ht="20.100000000000001" customHeight="1" x14ac:dyDescent="0.2">
      <c r="C49" s="21"/>
      <c r="G49" s="20"/>
      <c r="H49" s="27"/>
      <c r="I49" s="91">
        <f t="shared" si="0"/>
        <v>0</v>
      </c>
      <c r="J49" s="77"/>
      <c r="K49" s="77"/>
      <c r="L49" s="77"/>
      <c r="M49" s="77"/>
      <c r="N49" s="103"/>
    </row>
    <row r="50" spans="3:14" ht="20.100000000000001" customHeight="1" x14ac:dyDescent="0.2">
      <c r="C50" s="22"/>
      <c r="G50" s="19"/>
      <c r="H50" s="28"/>
      <c r="I50" s="90">
        <f t="shared" si="0"/>
        <v>0</v>
      </c>
      <c r="J50" s="78"/>
      <c r="K50" s="78"/>
      <c r="L50" s="78"/>
      <c r="M50" s="78"/>
      <c r="N50" s="104"/>
    </row>
    <row r="51" spans="3:14" ht="20.100000000000001" customHeight="1" x14ac:dyDescent="0.2">
      <c r="C51" s="21"/>
      <c r="G51" s="20"/>
      <c r="H51" s="27"/>
      <c r="I51" s="91">
        <f t="shared" si="0"/>
        <v>0</v>
      </c>
      <c r="J51" s="77"/>
      <c r="K51" s="77"/>
      <c r="L51" s="77"/>
      <c r="M51" s="77"/>
      <c r="N51" s="103"/>
    </row>
    <row r="52" spans="3:14" ht="20.100000000000001" customHeight="1" x14ac:dyDescent="0.2">
      <c r="C52" s="22"/>
      <c r="G52" s="19"/>
      <c r="H52" s="28"/>
      <c r="I52" s="90">
        <f t="shared" si="0"/>
        <v>0</v>
      </c>
      <c r="J52" s="78"/>
      <c r="K52" s="78"/>
      <c r="L52" s="78"/>
      <c r="M52" s="78"/>
      <c r="N52" s="104"/>
    </row>
    <row r="53" spans="3:14" ht="20.100000000000001" customHeight="1" x14ac:dyDescent="0.2">
      <c r="C53" s="24"/>
      <c r="G53" s="20"/>
      <c r="H53" s="27"/>
      <c r="I53" s="91">
        <f t="shared" si="0"/>
        <v>0</v>
      </c>
      <c r="J53" s="77"/>
      <c r="K53" s="77"/>
      <c r="L53" s="77"/>
      <c r="M53" s="77"/>
      <c r="N53" s="103"/>
    </row>
    <row r="54" spans="3:14" ht="20.100000000000001" customHeight="1" x14ac:dyDescent="0.2">
      <c r="C54" s="23"/>
      <c r="G54" s="19"/>
      <c r="H54" s="28"/>
      <c r="I54" s="90">
        <f t="shared" si="0"/>
        <v>0</v>
      </c>
      <c r="J54" s="78"/>
      <c r="K54" s="78"/>
      <c r="L54" s="78"/>
      <c r="M54" s="78"/>
      <c r="N54" s="104"/>
    </row>
    <row r="55" spans="3:14" ht="20.100000000000001" customHeight="1" x14ac:dyDescent="0.2">
      <c r="C55" s="24"/>
      <c r="G55" s="20"/>
      <c r="H55" s="27"/>
      <c r="I55" s="91">
        <f t="shared" si="0"/>
        <v>0</v>
      </c>
      <c r="J55" s="77"/>
      <c r="K55" s="77"/>
      <c r="L55" s="77"/>
      <c r="M55" s="77"/>
      <c r="N55" s="103"/>
    </row>
    <row r="56" spans="3:14" ht="20.100000000000001" customHeight="1" x14ac:dyDescent="0.2">
      <c r="C56" s="23"/>
      <c r="G56" s="19"/>
      <c r="H56" s="28"/>
      <c r="I56" s="90">
        <f t="shared" si="0"/>
        <v>0</v>
      </c>
      <c r="J56" s="78"/>
      <c r="K56" s="78"/>
      <c r="L56" s="78"/>
      <c r="M56" s="78"/>
      <c r="N56" s="104"/>
    </row>
    <row r="57" spans="3:14" ht="20.100000000000001" customHeight="1" x14ac:dyDescent="0.2">
      <c r="C57" s="24"/>
      <c r="G57" s="20"/>
      <c r="H57" s="27"/>
      <c r="I57" s="91">
        <f t="shared" si="0"/>
        <v>0</v>
      </c>
      <c r="J57" s="77"/>
      <c r="K57" s="77"/>
      <c r="L57" s="77"/>
      <c r="M57" s="77"/>
      <c r="N57" s="103"/>
    </row>
    <row r="58" spans="3:14" ht="20.100000000000001" customHeight="1" x14ac:dyDescent="0.2">
      <c r="C58" s="23"/>
      <c r="G58" s="19"/>
      <c r="H58" s="28"/>
      <c r="I58" s="90">
        <f t="shared" si="0"/>
        <v>0</v>
      </c>
      <c r="J58" s="78"/>
      <c r="K58" s="78"/>
      <c r="L58" s="78"/>
      <c r="M58" s="78"/>
      <c r="N58" s="104"/>
    </row>
    <row r="59" spans="3:14" ht="20.100000000000001" customHeight="1" thickBot="1" x14ac:dyDescent="0.25">
      <c r="C59" s="25"/>
      <c r="G59" s="20"/>
      <c r="H59" s="27"/>
      <c r="I59" s="91">
        <f t="shared" si="0"/>
        <v>0</v>
      </c>
      <c r="J59" s="77"/>
      <c r="K59" s="77"/>
      <c r="L59" s="77"/>
      <c r="M59" s="77"/>
      <c r="N59" s="103"/>
    </row>
    <row r="60" spans="3:14" ht="20.100000000000001" customHeight="1" x14ac:dyDescent="0.2">
      <c r="G60" s="16"/>
      <c r="H60" s="28"/>
      <c r="I60" s="90">
        <f t="shared" si="0"/>
        <v>0</v>
      </c>
      <c r="J60" s="78"/>
      <c r="K60" s="78"/>
      <c r="L60" s="78"/>
      <c r="M60" s="78"/>
      <c r="N60" s="104"/>
    </row>
    <row r="61" spans="3:14" ht="20.100000000000001" customHeight="1" x14ac:dyDescent="0.2">
      <c r="G61" s="17"/>
      <c r="H61" s="27"/>
      <c r="I61" s="91">
        <f t="shared" si="0"/>
        <v>0</v>
      </c>
      <c r="J61" s="77"/>
      <c r="K61" s="77"/>
      <c r="L61" s="77"/>
      <c r="M61" s="77"/>
      <c r="N61" s="103"/>
    </row>
    <row r="62" spans="3:14" ht="20.100000000000001" customHeight="1" x14ac:dyDescent="0.2">
      <c r="G62" s="16"/>
      <c r="H62" s="28"/>
      <c r="I62" s="90">
        <f t="shared" si="0"/>
        <v>0</v>
      </c>
      <c r="J62" s="78"/>
      <c r="K62" s="78"/>
      <c r="L62" s="78"/>
      <c r="M62" s="78"/>
      <c r="N62" s="104"/>
    </row>
    <row r="63" spans="3:14" ht="20.100000000000001" customHeight="1" x14ac:dyDescent="0.2">
      <c r="G63" s="17"/>
      <c r="H63" s="27"/>
      <c r="I63" s="91">
        <f t="shared" si="0"/>
        <v>0</v>
      </c>
      <c r="J63" s="77"/>
      <c r="K63" s="77"/>
      <c r="L63" s="77"/>
      <c r="M63" s="77"/>
      <c r="N63" s="103"/>
    </row>
    <row r="64" spans="3:14" ht="20.100000000000001" customHeight="1" x14ac:dyDescent="0.2">
      <c r="G64" s="16"/>
      <c r="H64" s="28"/>
      <c r="I64" s="90">
        <f t="shared" si="0"/>
        <v>0</v>
      </c>
      <c r="J64" s="78"/>
      <c r="K64" s="78"/>
      <c r="L64" s="78"/>
      <c r="M64" s="78"/>
      <c r="N64" s="104"/>
    </row>
    <row r="65" spans="7:14" ht="20.100000000000001" customHeight="1" x14ac:dyDescent="0.2">
      <c r="G65" s="17"/>
      <c r="H65" s="27"/>
      <c r="I65" s="91">
        <f t="shared" si="0"/>
        <v>0</v>
      </c>
      <c r="J65" s="77"/>
      <c r="K65" s="77"/>
      <c r="L65" s="77"/>
      <c r="M65" s="77"/>
      <c r="N65" s="103"/>
    </row>
    <row r="66" spans="7:14" ht="20.100000000000001" customHeight="1" x14ac:dyDescent="0.2">
      <c r="G66" s="16"/>
      <c r="H66" s="28"/>
      <c r="I66" s="90">
        <f t="shared" si="0"/>
        <v>0</v>
      </c>
      <c r="J66" s="78"/>
      <c r="K66" s="78"/>
      <c r="L66" s="78"/>
      <c r="M66" s="78"/>
      <c r="N66" s="104"/>
    </row>
    <row r="67" spans="7:14" ht="20.100000000000001" customHeight="1" x14ac:dyDescent="0.2">
      <c r="G67" s="17"/>
      <c r="H67" s="27"/>
      <c r="I67" s="91">
        <f t="shared" si="0"/>
        <v>0</v>
      </c>
      <c r="J67" s="77"/>
      <c r="K67" s="77"/>
      <c r="L67" s="77"/>
      <c r="M67" s="77"/>
      <c r="N67" s="103"/>
    </row>
    <row r="68" spans="7:14" ht="20.100000000000001" customHeight="1" x14ac:dyDescent="0.2">
      <c r="G68" s="16"/>
      <c r="H68" s="28"/>
      <c r="I68" s="90">
        <f t="shared" si="0"/>
        <v>0</v>
      </c>
      <c r="J68" s="78"/>
      <c r="K68" s="78"/>
      <c r="L68" s="78"/>
      <c r="M68" s="78"/>
      <c r="N68" s="104"/>
    </row>
    <row r="69" spans="7:14" ht="20.100000000000001" customHeight="1" x14ac:dyDescent="0.2">
      <c r="G69" s="17"/>
      <c r="H69" s="27"/>
      <c r="I69" s="91">
        <f t="shared" si="0"/>
        <v>0</v>
      </c>
      <c r="J69" s="77"/>
      <c r="K69" s="77"/>
      <c r="L69" s="77"/>
      <c r="M69" s="77"/>
      <c r="N69" s="103"/>
    </row>
    <row r="70" spans="7:14" ht="20.100000000000001" customHeight="1" x14ac:dyDescent="0.2">
      <c r="G70" s="16"/>
      <c r="H70" s="28"/>
      <c r="I70" s="90">
        <f t="shared" si="0"/>
        <v>0</v>
      </c>
      <c r="J70" s="78"/>
      <c r="K70" s="78"/>
      <c r="L70" s="78"/>
      <c r="M70" s="78"/>
      <c r="N70" s="104"/>
    </row>
    <row r="71" spans="7:14" ht="20.100000000000001" customHeight="1" x14ac:dyDescent="0.2">
      <c r="G71" s="17"/>
      <c r="H71" s="27"/>
      <c r="I71" s="91">
        <f t="shared" si="0"/>
        <v>0</v>
      </c>
      <c r="J71" s="77"/>
      <c r="K71" s="77"/>
      <c r="L71" s="77"/>
      <c r="M71" s="77"/>
      <c r="N71" s="103"/>
    </row>
    <row r="72" spans="7:14" ht="20.100000000000001" customHeight="1" x14ac:dyDescent="0.2">
      <c r="G72" s="16"/>
      <c r="H72" s="28"/>
      <c r="I72" s="90">
        <f t="shared" si="0"/>
        <v>0</v>
      </c>
      <c r="J72" s="78"/>
      <c r="K72" s="78"/>
      <c r="L72" s="78"/>
      <c r="M72" s="78"/>
      <c r="N72" s="104"/>
    </row>
    <row r="73" spans="7:14" ht="20.100000000000001" customHeight="1" x14ac:dyDescent="0.2">
      <c r="G73" s="17"/>
      <c r="H73" s="27"/>
      <c r="I73" s="91">
        <f t="shared" si="0"/>
        <v>0</v>
      </c>
      <c r="J73" s="77"/>
      <c r="K73" s="77"/>
      <c r="L73" s="77"/>
      <c r="M73" s="77"/>
      <c r="N73" s="103"/>
    </row>
    <row r="74" spans="7:14" ht="20.100000000000001" customHeight="1" x14ac:dyDescent="0.2">
      <c r="G74" s="16"/>
      <c r="H74" s="28"/>
      <c r="I74" s="90">
        <f t="shared" ref="I74:I109" si="1">SUM(J74:M74)-N74</f>
        <v>0</v>
      </c>
      <c r="J74" s="78"/>
      <c r="K74" s="78"/>
      <c r="L74" s="78"/>
      <c r="M74" s="78"/>
      <c r="N74" s="104"/>
    </row>
    <row r="75" spans="7:14" ht="20.100000000000001" customHeight="1" x14ac:dyDescent="0.2">
      <c r="G75" s="17"/>
      <c r="H75" s="27"/>
      <c r="I75" s="91">
        <f t="shared" si="1"/>
        <v>0</v>
      </c>
      <c r="J75" s="77"/>
      <c r="K75" s="77"/>
      <c r="L75" s="77"/>
      <c r="M75" s="77"/>
      <c r="N75" s="103"/>
    </row>
    <row r="76" spans="7:14" ht="20.100000000000001" customHeight="1" x14ac:dyDescent="0.2">
      <c r="G76" s="16"/>
      <c r="H76" s="28"/>
      <c r="I76" s="90">
        <f t="shared" si="1"/>
        <v>0</v>
      </c>
      <c r="J76" s="78"/>
      <c r="K76" s="78"/>
      <c r="L76" s="78"/>
      <c r="M76" s="78"/>
      <c r="N76" s="104"/>
    </row>
    <row r="77" spans="7:14" ht="20.100000000000001" customHeight="1" x14ac:dyDescent="0.2">
      <c r="G77" s="17"/>
      <c r="H77" s="27"/>
      <c r="I77" s="91">
        <f t="shared" si="1"/>
        <v>0</v>
      </c>
      <c r="J77" s="77"/>
      <c r="K77" s="77"/>
      <c r="L77" s="77"/>
      <c r="M77" s="77"/>
      <c r="N77" s="103"/>
    </row>
    <row r="78" spans="7:14" ht="20.100000000000001" customHeight="1" x14ac:dyDescent="0.2">
      <c r="G78" s="16"/>
      <c r="H78" s="28"/>
      <c r="I78" s="90">
        <f t="shared" si="1"/>
        <v>0</v>
      </c>
      <c r="J78" s="78"/>
      <c r="K78" s="78"/>
      <c r="L78" s="78"/>
      <c r="M78" s="78"/>
      <c r="N78" s="104"/>
    </row>
    <row r="79" spans="7:14" ht="20.100000000000001" customHeight="1" x14ac:dyDescent="0.2">
      <c r="G79" s="17"/>
      <c r="H79" s="27"/>
      <c r="I79" s="91">
        <f t="shared" si="1"/>
        <v>0</v>
      </c>
      <c r="J79" s="77"/>
      <c r="K79" s="77"/>
      <c r="L79" s="77"/>
      <c r="M79" s="77"/>
      <c r="N79" s="103"/>
    </row>
    <row r="80" spans="7:14" ht="20.100000000000001" customHeight="1" x14ac:dyDescent="0.2">
      <c r="G80" s="16"/>
      <c r="H80" s="28"/>
      <c r="I80" s="90">
        <f t="shared" si="1"/>
        <v>0</v>
      </c>
      <c r="J80" s="78"/>
      <c r="K80" s="78"/>
      <c r="L80" s="78"/>
      <c r="M80" s="78"/>
      <c r="N80" s="104"/>
    </row>
    <row r="81" spans="7:14" ht="20.100000000000001" customHeight="1" x14ac:dyDescent="0.2">
      <c r="G81" s="17"/>
      <c r="H81" s="27"/>
      <c r="I81" s="91">
        <f t="shared" si="1"/>
        <v>0</v>
      </c>
      <c r="J81" s="77"/>
      <c r="K81" s="77"/>
      <c r="L81" s="77"/>
      <c r="M81" s="77"/>
      <c r="N81" s="103"/>
    </row>
    <row r="82" spans="7:14" ht="20.100000000000001" customHeight="1" x14ac:dyDescent="0.2">
      <c r="G82" s="16"/>
      <c r="H82" s="28"/>
      <c r="I82" s="90">
        <f t="shared" si="1"/>
        <v>0</v>
      </c>
      <c r="J82" s="78"/>
      <c r="K82" s="78"/>
      <c r="L82" s="78"/>
      <c r="M82" s="78"/>
      <c r="N82" s="104"/>
    </row>
    <row r="83" spans="7:14" ht="20.100000000000001" customHeight="1" x14ac:dyDescent="0.2">
      <c r="G83" s="17"/>
      <c r="H83" s="27"/>
      <c r="I83" s="91">
        <f t="shared" si="1"/>
        <v>0</v>
      </c>
      <c r="J83" s="77"/>
      <c r="K83" s="77"/>
      <c r="L83" s="77"/>
      <c r="M83" s="77"/>
      <c r="N83" s="103"/>
    </row>
    <row r="84" spans="7:14" ht="20.100000000000001" customHeight="1" x14ac:dyDescent="0.2">
      <c r="G84" s="16"/>
      <c r="H84" s="28"/>
      <c r="I84" s="90">
        <f t="shared" si="1"/>
        <v>0</v>
      </c>
      <c r="J84" s="78"/>
      <c r="K84" s="78"/>
      <c r="L84" s="78"/>
      <c r="M84" s="78"/>
      <c r="N84" s="104"/>
    </row>
    <row r="85" spans="7:14" ht="20.100000000000001" customHeight="1" x14ac:dyDescent="0.2">
      <c r="G85" s="17"/>
      <c r="H85" s="27"/>
      <c r="I85" s="91">
        <f t="shared" si="1"/>
        <v>0</v>
      </c>
      <c r="J85" s="77"/>
      <c r="K85" s="77"/>
      <c r="L85" s="77"/>
      <c r="M85" s="77"/>
      <c r="N85" s="103"/>
    </row>
    <row r="86" spans="7:14" ht="20.100000000000001" customHeight="1" x14ac:dyDescent="0.2">
      <c r="G86" s="16"/>
      <c r="H86" s="28"/>
      <c r="I86" s="90">
        <f t="shared" si="1"/>
        <v>0</v>
      </c>
      <c r="J86" s="78"/>
      <c r="K86" s="78"/>
      <c r="L86" s="78"/>
      <c r="M86" s="78"/>
      <c r="N86" s="104"/>
    </row>
    <row r="87" spans="7:14" ht="20.100000000000001" customHeight="1" x14ac:dyDescent="0.2">
      <c r="G87" s="17"/>
      <c r="H87" s="27"/>
      <c r="I87" s="91">
        <f t="shared" si="1"/>
        <v>0</v>
      </c>
      <c r="J87" s="77"/>
      <c r="K87" s="77"/>
      <c r="L87" s="77"/>
      <c r="M87" s="77"/>
      <c r="N87" s="103"/>
    </row>
    <row r="88" spans="7:14" ht="20.100000000000001" customHeight="1" x14ac:dyDescent="0.2">
      <c r="G88" s="16"/>
      <c r="H88" s="28"/>
      <c r="I88" s="90">
        <f t="shared" si="1"/>
        <v>0</v>
      </c>
      <c r="J88" s="78"/>
      <c r="K88" s="78"/>
      <c r="L88" s="78"/>
      <c r="M88" s="78"/>
      <c r="N88" s="104"/>
    </row>
    <row r="89" spans="7:14" ht="20.100000000000001" customHeight="1" x14ac:dyDescent="0.2">
      <c r="G89" s="17"/>
      <c r="H89" s="27"/>
      <c r="I89" s="91">
        <f t="shared" si="1"/>
        <v>0</v>
      </c>
      <c r="J89" s="77"/>
      <c r="K89" s="77"/>
      <c r="L89" s="77"/>
      <c r="M89" s="77"/>
      <c r="N89" s="103"/>
    </row>
    <row r="90" spans="7:14" ht="20.100000000000001" customHeight="1" x14ac:dyDescent="0.2">
      <c r="G90" s="16"/>
      <c r="H90" s="28"/>
      <c r="I90" s="90">
        <f t="shared" si="1"/>
        <v>0</v>
      </c>
      <c r="J90" s="78"/>
      <c r="K90" s="78"/>
      <c r="L90" s="78"/>
      <c r="M90" s="78"/>
      <c r="N90" s="104"/>
    </row>
    <row r="91" spans="7:14" ht="20.100000000000001" customHeight="1" x14ac:dyDescent="0.2">
      <c r="G91" s="17"/>
      <c r="H91" s="27"/>
      <c r="I91" s="91">
        <f t="shared" si="1"/>
        <v>0</v>
      </c>
      <c r="J91" s="77"/>
      <c r="K91" s="77"/>
      <c r="L91" s="77"/>
      <c r="M91" s="77"/>
      <c r="N91" s="103"/>
    </row>
    <row r="92" spans="7:14" ht="20.100000000000001" customHeight="1" x14ac:dyDescent="0.2">
      <c r="G92" s="16"/>
      <c r="H92" s="28"/>
      <c r="I92" s="90">
        <f t="shared" si="1"/>
        <v>0</v>
      </c>
      <c r="J92" s="78"/>
      <c r="K92" s="78"/>
      <c r="L92" s="78"/>
      <c r="M92" s="78"/>
      <c r="N92" s="104"/>
    </row>
    <row r="93" spans="7:14" ht="20.100000000000001" customHeight="1" x14ac:dyDescent="0.2">
      <c r="G93" s="17"/>
      <c r="H93" s="27"/>
      <c r="I93" s="91">
        <f t="shared" si="1"/>
        <v>0</v>
      </c>
      <c r="J93" s="77"/>
      <c r="K93" s="77"/>
      <c r="L93" s="77"/>
      <c r="M93" s="77"/>
      <c r="N93" s="103"/>
    </row>
    <row r="94" spans="7:14" ht="20.100000000000001" customHeight="1" x14ac:dyDescent="0.2">
      <c r="G94" s="16"/>
      <c r="H94" s="28"/>
      <c r="I94" s="90">
        <f t="shared" si="1"/>
        <v>0</v>
      </c>
      <c r="J94" s="78"/>
      <c r="K94" s="78"/>
      <c r="L94" s="78"/>
      <c r="M94" s="78"/>
      <c r="N94" s="104"/>
    </row>
    <row r="95" spans="7:14" ht="20.100000000000001" customHeight="1" x14ac:dyDescent="0.2">
      <c r="G95" s="17"/>
      <c r="H95" s="27"/>
      <c r="I95" s="91">
        <f t="shared" si="1"/>
        <v>0</v>
      </c>
      <c r="J95" s="77"/>
      <c r="K95" s="77"/>
      <c r="L95" s="77"/>
      <c r="M95" s="77"/>
      <c r="N95" s="103"/>
    </row>
    <row r="96" spans="7:14" ht="20.100000000000001" customHeight="1" x14ac:dyDescent="0.2">
      <c r="G96" s="16"/>
      <c r="H96" s="28"/>
      <c r="I96" s="90">
        <f t="shared" si="1"/>
        <v>0</v>
      </c>
      <c r="J96" s="78"/>
      <c r="K96" s="78"/>
      <c r="L96" s="78"/>
      <c r="M96" s="78"/>
      <c r="N96" s="104"/>
    </row>
    <row r="97" spans="7:14" ht="20.100000000000001" customHeight="1" x14ac:dyDescent="0.2">
      <c r="G97" s="17"/>
      <c r="H97" s="27"/>
      <c r="I97" s="91">
        <f t="shared" si="1"/>
        <v>0</v>
      </c>
      <c r="J97" s="77"/>
      <c r="K97" s="77"/>
      <c r="L97" s="77"/>
      <c r="M97" s="77"/>
      <c r="N97" s="103"/>
    </row>
    <row r="98" spans="7:14" ht="20.100000000000001" customHeight="1" x14ac:dyDescent="0.2">
      <c r="G98" s="16"/>
      <c r="H98" s="28"/>
      <c r="I98" s="90">
        <f t="shared" si="1"/>
        <v>0</v>
      </c>
      <c r="J98" s="78"/>
      <c r="K98" s="78"/>
      <c r="L98" s="78"/>
      <c r="M98" s="78"/>
      <c r="N98" s="104"/>
    </row>
    <row r="99" spans="7:14" ht="20.100000000000001" customHeight="1" x14ac:dyDescent="0.2">
      <c r="G99" s="17"/>
      <c r="H99" s="27"/>
      <c r="I99" s="91">
        <f t="shared" si="1"/>
        <v>0</v>
      </c>
      <c r="J99" s="77"/>
      <c r="K99" s="77"/>
      <c r="L99" s="77"/>
      <c r="M99" s="77"/>
      <c r="N99" s="103"/>
    </row>
    <row r="100" spans="7:14" ht="20.100000000000001" customHeight="1" x14ac:dyDescent="0.2">
      <c r="G100" s="16"/>
      <c r="H100" s="28"/>
      <c r="I100" s="90">
        <f t="shared" si="1"/>
        <v>0</v>
      </c>
      <c r="J100" s="78"/>
      <c r="K100" s="78"/>
      <c r="L100" s="78"/>
      <c r="M100" s="78"/>
      <c r="N100" s="104"/>
    </row>
    <row r="101" spans="7:14" ht="20.100000000000001" customHeight="1" x14ac:dyDescent="0.2">
      <c r="G101" s="17"/>
      <c r="H101" s="27"/>
      <c r="I101" s="91">
        <f t="shared" si="1"/>
        <v>0</v>
      </c>
      <c r="J101" s="77"/>
      <c r="K101" s="77"/>
      <c r="L101" s="77"/>
      <c r="M101" s="77"/>
      <c r="N101" s="103"/>
    </row>
    <row r="102" spans="7:14" ht="20.100000000000001" customHeight="1" x14ac:dyDescent="0.2">
      <c r="G102" s="16"/>
      <c r="H102" s="28"/>
      <c r="I102" s="90">
        <f t="shared" si="1"/>
        <v>0</v>
      </c>
      <c r="J102" s="78"/>
      <c r="K102" s="78"/>
      <c r="L102" s="78"/>
      <c r="M102" s="78"/>
      <c r="N102" s="104"/>
    </row>
    <row r="103" spans="7:14" ht="20.100000000000001" customHeight="1" x14ac:dyDescent="0.2">
      <c r="G103" s="17"/>
      <c r="H103" s="27"/>
      <c r="I103" s="91">
        <f t="shared" si="1"/>
        <v>0</v>
      </c>
      <c r="J103" s="77"/>
      <c r="K103" s="77"/>
      <c r="L103" s="77"/>
      <c r="M103" s="77"/>
      <c r="N103" s="103"/>
    </row>
    <row r="104" spans="7:14" ht="20.100000000000001" customHeight="1" x14ac:dyDescent="0.2">
      <c r="G104" s="16"/>
      <c r="H104" s="28"/>
      <c r="I104" s="90">
        <f t="shared" si="1"/>
        <v>0</v>
      </c>
      <c r="J104" s="78"/>
      <c r="K104" s="78"/>
      <c r="L104" s="78"/>
      <c r="M104" s="78"/>
      <c r="N104" s="104"/>
    </row>
    <row r="105" spans="7:14" ht="20.100000000000001" customHeight="1" x14ac:dyDescent="0.2">
      <c r="G105" s="17"/>
      <c r="H105" s="27"/>
      <c r="I105" s="91">
        <f t="shared" si="1"/>
        <v>0</v>
      </c>
      <c r="J105" s="77"/>
      <c r="K105" s="77"/>
      <c r="L105" s="77"/>
      <c r="M105" s="77"/>
      <c r="N105" s="103"/>
    </row>
    <row r="106" spans="7:14" ht="20.100000000000001" customHeight="1" x14ac:dyDescent="0.2">
      <c r="G106" s="16"/>
      <c r="H106" s="28"/>
      <c r="I106" s="90">
        <f t="shared" si="1"/>
        <v>0</v>
      </c>
      <c r="J106" s="78"/>
      <c r="K106" s="78"/>
      <c r="L106" s="78"/>
      <c r="M106" s="78"/>
      <c r="N106" s="104"/>
    </row>
    <row r="107" spans="7:14" ht="20.100000000000001" customHeight="1" x14ac:dyDescent="0.2">
      <c r="G107" s="17"/>
      <c r="H107" s="27"/>
      <c r="I107" s="91">
        <f t="shared" si="1"/>
        <v>0</v>
      </c>
      <c r="J107" s="77"/>
      <c r="K107" s="77"/>
      <c r="L107" s="77"/>
      <c r="M107" s="77"/>
      <c r="N107" s="103"/>
    </row>
    <row r="108" spans="7:14" ht="20.100000000000001" customHeight="1" x14ac:dyDescent="0.2">
      <c r="G108" s="16"/>
      <c r="H108" s="28"/>
      <c r="I108" s="90">
        <f t="shared" si="1"/>
        <v>0</v>
      </c>
      <c r="J108" s="78"/>
      <c r="K108" s="78"/>
      <c r="L108" s="78"/>
      <c r="M108" s="78"/>
      <c r="N108" s="104"/>
    </row>
    <row r="109" spans="7:14" ht="20.100000000000001" customHeight="1" thickBot="1" x14ac:dyDescent="0.25">
      <c r="G109" s="18"/>
      <c r="H109" s="29"/>
      <c r="I109" s="91">
        <f t="shared" si="1"/>
        <v>0</v>
      </c>
      <c r="J109" s="89"/>
      <c r="K109" s="89"/>
      <c r="L109" s="89"/>
      <c r="M109" s="89"/>
      <c r="N109" s="105"/>
    </row>
  </sheetData>
  <dataConsolidate/>
  <mergeCells count="4">
    <mergeCell ref="G7:I7"/>
    <mergeCell ref="J7:M7"/>
    <mergeCell ref="B2:N2"/>
    <mergeCell ref="B3:N3"/>
  </mergeCells>
  <pageMargins left="0.75" right="0.75" top="1" bottom="1" header="0.5" footer="0.5"/>
  <pageSetup paperSize="5" scale="67" fitToHeight="0"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B1:Q67"/>
  <sheetViews>
    <sheetView showGridLines="0" zoomScaleNormal="100" workbookViewId="0"/>
  </sheetViews>
  <sheetFormatPr defaultColWidth="9" defaultRowHeight="12.75" x14ac:dyDescent="0.2"/>
  <cols>
    <col min="1" max="1" width="2.5" style="1" customWidth="1"/>
    <col min="2" max="2" width="9.625" style="1" bestFit="1" customWidth="1"/>
    <col min="3" max="3" width="16.75" style="1" customWidth="1"/>
    <col min="4" max="4" width="18.125" style="1" customWidth="1"/>
    <col min="5" max="5" width="14.375" style="1" customWidth="1"/>
    <col min="6" max="6" width="18.625" style="1" bestFit="1" customWidth="1"/>
    <col min="7" max="7" width="14.25" style="1" customWidth="1"/>
    <col min="8" max="8" width="9.625" style="1" bestFit="1" customWidth="1"/>
    <col min="9" max="9" width="16" style="1" customWidth="1"/>
    <col min="10" max="11" width="17" style="1" hidden="1" customWidth="1"/>
    <col min="12" max="14" width="9" style="1" hidden="1" customWidth="1"/>
    <col min="15" max="15" width="23.5" style="1" hidden="1" customWidth="1"/>
    <col min="16" max="16" width="12.5" style="1" hidden="1" customWidth="1"/>
    <col min="17" max="17" width="9" style="1" hidden="1" customWidth="1"/>
    <col min="18" max="16384" width="9" style="1"/>
  </cols>
  <sheetData>
    <row r="1" spans="2:17" ht="15" customHeight="1" x14ac:dyDescent="0.2"/>
    <row r="2" spans="2:17" ht="33.75" customHeight="1" x14ac:dyDescent="0.2">
      <c r="B2" s="238" t="s">
        <v>50</v>
      </c>
      <c r="C2" s="238"/>
      <c r="D2" s="238"/>
      <c r="E2" s="238"/>
      <c r="F2" s="238"/>
      <c r="G2" s="238"/>
      <c r="H2" s="238"/>
      <c r="I2" s="238"/>
      <c r="J2" s="238"/>
      <c r="K2" s="238"/>
      <c r="L2" s="238"/>
      <c r="M2" s="238"/>
      <c r="N2" s="238"/>
      <c r="O2" s="238"/>
      <c r="P2" s="238"/>
      <c r="Q2" s="238"/>
    </row>
    <row r="3" spans="2:17" ht="115.5" customHeight="1" x14ac:dyDescent="0.2">
      <c r="B3" s="237" t="s">
        <v>51</v>
      </c>
      <c r="C3" s="237"/>
      <c r="D3" s="237"/>
      <c r="E3" s="237"/>
      <c r="F3" s="237"/>
      <c r="G3" s="237"/>
      <c r="H3" s="237"/>
      <c r="I3" s="237"/>
      <c r="J3" s="237"/>
      <c r="K3" s="237"/>
      <c r="L3" s="237"/>
      <c r="M3" s="237"/>
      <c r="N3" s="237"/>
      <c r="O3" s="237"/>
      <c r="P3" s="237"/>
      <c r="Q3" s="237"/>
    </row>
    <row r="4" spans="2:17" ht="28.5" customHeight="1" x14ac:dyDescent="0.2"/>
    <row r="5" spans="2:17" ht="14.25" x14ac:dyDescent="0.2">
      <c r="B5" s="96" t="s">
        <v>52</v>
      </c>
      <c r="C5" s="96" t="s">
        <v>53</v>
      </c>
      <c r="D5" s="96" t="s">
        <v>29</v>
      </c>
      <c r="E5" s="96" t="s">
        <v>54</v>
      </c>
      <c r="F5" s="96" t="s">
        <v>55</v>
      </c>
      <c r="G5" s="96" t="s">
        <v>56</v>
      </c>
      <c r="H5" s="96" t="s">
        <v>57</v>
      </c>
      <c r="I5" s="96" t="s">
        <v>58</v>
      </c>
      <c r="J5" s="1" t="s">
        <v>59</v>
      </c>
      <c r="K5" s="1" t="s">
        <v>60</v>
      </c>
      <c r="L5" s="1" t="s">
        <v>61</v>
      </c>
      <c r="M5" s="1" t="s">
        <v>62</v>
      </c>
      <c r="N5" s="1" t="s">
        <v>63</v>
      </c>
      <c r="O5" s="1" t="s">
        <v>64</v>
      </c>
      <c r="P5" s="1" t="s">
        <v>65</v>
      </c>
      <c r="Q5" s="1" t="s">
        <v>66</v>
      </c>
    </row>
    <row r="6" spans="2:17" x14ac:dyDescent="0.2">
      <c r="B6" s="186">
        <v>5955</v>
      </c>
      <c r="C6" s="186" t="s">
        <v>36</v>
      </c>
      <c r="D6" s="186" t="s">
        <v>44</v>
      </c>
      <c r="E6" s="187">
        <v>23649</v>
      </c>
      <c r="F6" s="187">
        <v>36541</v>
      </c>
      <c r="G6" s="187">
        <v>26728</v>
      </c>
      <c r="H6" s="186" t="s">
        <v>67</v>
      </c>
      <c r="I6" s="186" t="s">
        <v>40</v>
      </c>
      <c r="J6" s="13">
        <f ca="1">ROUNDDOWN(YEARFRAC(EmployeeTable[[#This Row],[Hire Date]], TODAY(), 1), 0)</f>
        <v>55</v>
      </c>
      <c r="K6" s="13">
        <f ca="1">ROUNDDOWN(YEARFRAC(EmployeeTable[[#This Row],[Start Date in Role]], TODAY(), 1), 0)</f>
        <v>20</v>
      </c>
      <c r="L6" s="1">
        <f ca="1">ROUNDDOWN(YEARFRAC(EmployeeTable[[#This Row],[DOB]], TODAY(), 1), 0)</f>
        <v>47</v>
      </c>
      <c r="M6" s="1">
        <f ca="1">IF(EmployeeTable[[#This Row],[Age]]&gt;54,1,0)</f>
        <v>0</v>
      </c>
      <c r="N6" s="1">
        <f>VLOOKUP(EmployeeTable[[#This Row],[Role]],'3. Setup &amp; Role Data'!$G$9:$I$109,2,FALSE)</f>
        <v>60000</v>
      </c>
      <c r="O6" s="1" t="str">
        <f ca="1">IF(EmployeeTable[[#This Row],[Tenure]]&lt;2,"1 Year or Less",IF(EmployeeTable[[#This Row],[Tenure]]&lt;=5,"2-5 Years",IF(EmployeeTable[[#This Row],[Tenure]]&lt;10,"6-10 Years","10+ Years")))</f>
        <v>10+ Years</v>
      </c>
      <c r="P6" s="1" t="str">
        <f ca="1">IF(EmployeeTable[[#This Row],[Role Tenure]]&lt;2,"1 Year or Less",IF(EmployeeTable[[#This Row],[Role Tenure]]&lt;=5,"2-5 Years",IF(EmployeeTable[[#This Row],[Role Tenure]]&lt;10,"6-10 Years","10+ Years")))</f>
        <v>10+ Years</v>
      </c>
      <c r="Q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7" spans="2:17" x14ac:dyDescent="0.2">
      <c r="B7" s="186">
        <v>1431</v>
      </c>
      <c r="C7" s="186" t="s">
        <v>36</v>
      </c>
      <c r="D7" s="186" t="s">
        <v>44</v>
      </c>
      <c r="E7" s="187">
        <v>20771</v>
      </c>
      <c r="F7" s="187">
        <v>24845</v>
      </c>
      <c r="G7" s="187">
        <v>24909</v>
      </c>
      <c r="H7" s="186" t="s">
        <v>68</v>
      </c>
      <c r="I7" s="186" t="s">
        <v>40</v>
      </c>
      <c r="J7" s="13">
        <f ca="1">ROUNDDOWN(YEARFRAC(EmployeeTable[[#This Row],[Hire Date]], TODAY(), 1), 0)</f>
        <v>63</v>
      </c>
      <c r="K7" s="13">
        <f ca="1">ROUNDDOWN(YEARFRAC(EmployeeTable[[#This Row],[Start Date in Role]], TODAY(), 1), 0)</f>
        <v>52</v>
      </c>
      <c r="L7" s="1">
        <f ca="1">ROUNDDOWN(YEARFRAC(EmployeeTable[[#This Row],[DOB]], TODAY(), 1), 0)</f>
        <v>52</v>
      </c>
      <c r="M7" s="1">
        <f ca="1">IF(EmployeeTable[[#This Row],[Age]]&gt;54,1,0)</f>
        <v>0</v>
      </c>
      <c r="N7" s="1">
        <f>VLOOKUP(EmployeeTable[[#This Row],[Role]],'3. Setup &amp; Role Data'!$G$9:$I$109,2,FALSE)</f>
        <v>60000</v>
      </c>
      <c r="O7" s="1" t="str">
        <f ca="1">IF(EmployeeTable[[#This Row],[Tenure]]&lt;2,"1 Year or Less",IF(EmployeeTable[[#This Row],[Tenure]]&lt;=5,"2-5 Years",IF(EmployeeTable[[#This Row],[Tenure]]&lt;10,"6-10 Years","10+ Years")))</f>
        <v>10+ Years</v>
      </c>
      <c r="P7" s="1" t="str">
        <f ca="1">IF(EmployeeTable[[#This Row],[Role Tenure]]&lt;2,"1 Year or Less",IF(EmployeeTable[[#This Row],[Role Tenure]]&lt;=5,"2-5 Years",IF(EmployeeTable[[#This Row],[Role Tenure]]&lt;10,"6-10 Years","10+ Years")))</f>
        <v>10+ Years</v>
      </c>
      <c r="Q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8" spans="2:17" x14ac:dyDescent="0.2">
      <c r="B8" s="186">
        <v>3658</v>
      </c>
      <c r="C8" s="186" t="s">
        <v>36</v>
      </c>
      <c r="D8" s="186" t="s">
        <v>46</v>
      </c>
      <c r="E8" s="187">
        <v>35165</v>
      </c>
      <c r="F8" s="187">
        <v>25394</v>
      </c>
      <c r="G8" s="187">
        <v>28359</v>
      </c>
      <c r="H8" s="186" t="s">
        <v>67</v>
      </c>
      <c r="I8" s="186" t="s">
        <v>37</v>
      </c>
      <c r="J8" s="13">
        <f ca="1">ROUNDDOWN(YEARFRAC(EmployeeTable[[#This Row],[Hire Date]], TODAY(), 1), 0)</f>
        <v>23</v>
      </c>
      <c r="K8" s="13">
        <f ca="1">ROUNDDOWN(YEARFRAC(EmployeeTable[[#This Row],[Start Date in Role]], TODAY(), 1), 0)</f>
        <v>50</v>
      </c>
      <c r="L8" s="1">
        <f ca="1">ROUNDDOWN(YEARFRAC(EmployeeTable[[#This Row],[DOB]], TODAY(), 1), 0)</f>
        <v>42</v>
      </c>
      <c r="M8" s="1">
        <f ca="1">IF(EmployeeTable[[#This Row],[Age]]&gt;54,1,0)</f>
        <v>0</v>
      </c>
      <c r="N8" s="1">
        <f>VLOOKUP(EmployeeTable[[#This Row],[Role]],'3. Setup &amp; Role Data'!$G$9:$I$109,2,FALSE)</f>
        <v>120000</v>
      </c>
      <c r="O8" s="1" t="str">
        <f ca="1">IF(EmployeeTable[[#This Row],[Tenure]]&lt;2,"1 Year or Less",IF(EmployeeTable[[#This Row],[Tenure]]&lt;=5,"2-5 Years",IF(EmployeeTable[[#This Row],[Tenure]]&lt;10,"6-10 Years","10+ Years")))</f>
        <v>10+ Years</v>
      </c>
      <c r="P8" s="1" t="str">
        <f ca="1">IF(EmployeeTable[[#This Row],[Role Tenure]]&lt;2,"1 Year or Less",IF(EmployeeTable[[#This Row],[Role Tenure]]&lt;=5,"2-5 Years",IF(EmployeeTable[[#This Row],[Role Tenure]]&lt;10,"6-10 Years","10+ Years")))</f>
        <v>10+ Years</v>
      </c>
      <c r="Q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9" spans="2:17" x14ac:dyDescent="0.2">
      <c r="B9" s="186">
        <v>9864</v>
      </c>
      <c r="C9" s="186" t="s">
        <v>36</v>
      </c>
      <c r="D9" s="186" t="s">
        <v>44</v>
      </c>
      <c r="E9" s="187">
        <v>39991</v>
      </c>
      <c r="F9" s="187">
        <v>29835</v>
      </c>
      <c r="G9" s="187">
        <v>23235</v>
      </c>
      <c r="H9" s="186" t="s">
        <v>67</v>
      </c>
      <c r="I9" s="186" t="s">
        <v>37</v>
      </c>
      <c r="J9" s="13">
        <f ca="1">ROUNDDOWN(YEARFRAC(EmployeeTable[[#This Row],[Hire Date]], TODAY(), 1), 0)</f>
        <v>10</v>
      </c>
      <c r="K9" s="13">
        <f ca="1">ROUNDDOWN(YEARFRAC(EmployeeTable[[#This Row],[Start Date in Role]], TODAY(), 1), 0)</f>
        <v>38</v>
      </c>
      <c r="L9" s="1">
        <f ca="1">ROUNDDOWN(YEARFRAC(EmployeeTable[[#This Row],[DOB]], TODAY(), 1), 0)</f>
        <v>56</v>
      </c>
      <c r="M9" s="1">
        <f ca="1">IF(EmployeeTable[[#This Row],[Age]]&gt;54,1,0)</f>
        <v>1</v>
      </c>
      <c r="N9" s="1">
        <f>VLOOKUP(EmployeeTable[[#This Row],[Role]],'3. Setup &amp; Role Data'!$G$9:$I$109,2,FALSE)</f>
        <v>60000</v>
      </c>
      <c r="O9" s="1" t="str">
        <f ca="1">IF(EmployeeTable[[#This Row],[Tenure]]&lt;2,"1 Year or Less",IF(EmployeeTable[[#This Row],[Tenure]]&lt;=5,"2-5 Years",IF(EmployeeTable[[#This Row],[Tenure]]&lt;10,"6-10 Years","10+ Years")))</f>
        <v>10+ Years</v>
      </c>
      <c r="P9" s="1" t="str">
        <f ca="1">IF(EmployeeTable[[#This Row],[Role Tenure]]&lt;2,"1 Year or Less",IF(EmployeeTable[[#This Row],[Role Tenure]]&lt;=5,"2-5 Years",IF(EmployeeTable[[#This Row],[Role Tenure]]&lt;10,"6-10 Years","10+ Years")))</f>
        <v>10+ Years</v>
      </c>
      <c r="Q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10" spans="2:17" x14ac:dyDescent="0.2">
      <c r="B10" s="186">
        <v>6367</v>
      </c>
      <c r="C10" s="186" t="s">
        <v>36</v>
      </c>
      <c r="D10" s="186" t="s">
        <v>46</v>
      </c>
      <c r="E10" s="187">
        <v>40587</v>
      </c>
      <c r="F10" s="187">
        <v>31140</v>
      </c>
      <c r="G10" s="187">
        <v>33974</v>
      </c>
      <c r="H10" s="186" t="s">
        <v>68</v>
      </c>
      <c r="I10" s="186" t="s">
        <v>40</v>
      </c>
      <c r="J10" s="13">
        <f ca="1">ROUNDDOWN(YEARFRAC(EmployeeTable[[#This Row],[Hire Date]], TODAY(), 1), 0)</f>
        <v>9</v>
      </c>
      <c r="K10" s="13">
        <f ca="1">ROUNDDOWN(YEARFRAC(EmployeeTable[[#This Row],[Start Date in Role]], TODAY(), 1), 0)</f>
        <v>34</v>
      </c>
      <c r="L10" s="1">
        <f ca="1">ROUNDDOWN(YEARFRAC(EmployeeTable[[#This Row],[DOB]], TODAY(), 1), 0)</f>
        <v>27</v>
      </c>
      <c r="M10" s="1">
        <f ca="1">IF(EmployeeTable[[#This Row],[Age]]&gt;54,1,0)</f>
        <v>0</v>
      </c>
      <c r="N10" s="1">
        <f>VLOOKUP(EmployeeTable[[#This Row],[Role]],'3. Setup &amp; Role Data'!$G$9:$I$109,2,FALSE)</f>
        <v>120000</v>
      </c>
      <c r="O10" s="1" t="str">
        <f ca="1">IF(EmployeeTable[[#This Row],[Tenure]]&lt;2,"1 Year or Less",IF(EmployeeTable[[#This Row],[Tenure]]&lt;=5,"2-5 Years",IF(EmployeeTable[[#This Row],[Tenure]]&lt;10,"6-10 Years","10+ Years")))</f>
        <v>6-10 Years</v>
      </c>
      <c r="P10" s="1" t="str">
        <f ca="1">IF(EmployeeTable[[#This Row],[Role Tenure]]&lt;2,"1 Year or Less",IF(EmployeeTable[[#This Row],[Role Tenure]]&lt;=5,"2-5 Years",IF(EmployeeTable[[#This Row],[Role Tenure]]&lt;10,"6-10 Years","10+ Years")))</f>
        <v>10+ Years</v>
      </c>
      <c r="Q1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11" spans="2:17" x14ac:dyDescent="0.2">
      <c r="B11" s="186">
        <v>6618</v>
      </c>
      <c r="C11" s="186" t="s">
        <v>36</v>
      </c>
      <c r="D11" s="186" t="s">
        <v>47</v>
      </c>
      <c r="E11" s="187">
        <v>32561</v>
      </c>
      <c r="F11" s="187">
        <v>34989</v>
      </c>
      <c r="G11" s="187">
        <v>32507</v>
      </c>
      <c r="H11" s="186" t="s">
        <v>67</v>
      </c>
      <c r="I11" s="186" t="s">
        <v>40</v>
      </c>
      <c r="J11" s="13">
        <f ca="1">ROUNDDOWN(YEARFRAC(EmployeeTable[[#This Row],[Hire Date]], TODAY(), 1), 0)</f>
        <v>31</v>
      </c>
      <c r="K11" s="13">
        <f ca="1">ROUNDDOWN(YEARFRAC(EmployeeTable[[#This Row],[Start Date in Role]], TODAY(), 1), 0)</f>
        <v>24</v>
      </c>
      <c r="L11" s="1">
        <f ca="1">ROUNDDOWN(YEARFRAC(EmployeeTable[[#This Row],[DOB]], TODAY(), 1), 0)</f>
        <v>31</v>
      </c>
      <c r="M11" s="1">
        <f ca="1">IF(EmployeeTable[[#This Row],[Age]]&gt;54,1,0)</f>
        <v>0</v>
      </c>
      <c r="N11" s="1">
        <f>VLOOKUP(EmployeeTable[[#This Row],[Role]],'3. Setup &amp; Role Data'!$G$9:$I$109,2,FALSE)</f>
        <v>80000</v>
      </c>
      <c r="O11" s="1" t="str">
        <f ca="1">IF(EmployeeTable[[#This Row],[Tenure]]&lt;2,"1 Year or Less",IF(EmployeeTable[[#This Row],[Tenure]]&lt;=5,"2-5 Years",IF(EmployeeTable[[#This Row],[Tenure]]&lt;10,"6-10 Years","10+ Years")))</f>
        <v>10+ Years</v>
      </c>
      <c r="P11" s="1" t="str">
        <f ca="1">IF(EmployeeTable[[#This Row],[Role Tenure]]&lt;2,"1 Year or Less",IF(EmployeeTable[[#This Row],[Role Tenure]]&lt;=5,"2-5 Years",IF(EmployeeTable[[#This Row],[Role Tenure]]&lt;10,"6-10 Years","10+ Years")))</f>
        <v>10+ Years</v>
      </c>
      <c r="Q1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12" spans="2:17" x14ac:dyDescent="0.2">
      <c r="B12" s="186">
        <v>8742</v>
      </c>
      <c r="C12" s="186" t="s">
        <v>36</v>
      </c>
      <c r="D12" s="186" t="s">
        <v>38</v>
      </c>
      <c r="E12" s="187">
        <v>36425</v>
      </c>
      <c r="F12" s="187">
        <v>33571</v>
      </c>
      <c r="G12" s="187">
        <v>26212</v>
      </c>
      <c r="H12" s="186" t="s">
        <v>67</v>
      </c>
      <c r="I12" s="186" t="s">
        <v>37</v>
      </c>
      <c r="J12" s="13">
        <f ca="1">ROUNDDOWN(YEARFRAC(EmployeeTable[[#This Row],[Hire Date]], TODAY(), 1), 0)</f>
        <v>20</v>
      </c>
      <c r="K12" s="13">
        <f ca="1">ROUNDDOWN(YEARFRAC(EmployeeTable[[#This Row],[Start Date in Role]], TODAY(), 1), 0)</f>
        <v>28</v>
      </c>
      <c r="L12" s="1">
        <f ca="1">ROUNDDOWN(YEARFRAC(EmployeeTable[[#This Row],[DOB]], TODAY(), 1), 0)</f>
        <v>48</v>
      </c>
      <c r="M12" s="1">
        <f ca="1">IF(EmployeeTable[[#This Row],[Age]]&gt;54,1,0)</f>
        <v>0</v>
      </c>
      <c r="N12" s="1">
        <f>VLOOKUP(EmployeeTable[[#This Row],[Role]],'3. Setup &amp; Role Data'!$G$9:$I$109,2,FALSE)</f>
        <v>80000</v>
      </c>
      <c r="O12" s="1" t="str">
        <f ca="1">IF(EmployeeTable[[#This Row],[Tenure]]&lt;2,"1 Year or Less",IF(EmployeeTable[[#This Row],[Tenure]]&lt;=5,"2-5 Years",IF(EmployeeTable[[#This Row],[Tenure]]&lt;10,"6-10 Years","10+ Years")))</f>
        <v>10+ Years</v>
      </c>
      <c r="P12" s="1" t="str">
        <f ca="1">IF(EmployeeTable[[#This Row],[Role Tenure]]&lt;2,"1 Year or Less",IF(EmployeeTable[[#This Row],[Role Tenure]]&lt;=5,"2-5 Years",IF(EmployeeTable[[#This Row],[Role Tenure]]&lt;10,"6-10 Years","10+ Years")))</f>
        <v>10+ Years</v>
      </c>
      <c r="Q1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13" spans="2:17" x14ac:dyDescent="0.2">
      <c r="B13" s="186">
        <v>6041</v>
      </c>
      <c r="C13" s="186" t="s">
        <v>36</v>
      </c>
      <c r="D13" s="186" t="s">
        <v>46</v>
      </c>
      <c r="E13" s="187">
        <v>41268</v>
      </c>
      <c r="F13" s="187">
        <v>42126</v>
      </c>
      <c r="G13" s="187">
        <v>29128</v>
      </c>
      <c r="H13" s="186" t="s">
        <v>68</v>
      </c>
      <c r="I13" s="186" t="s">
        <v>28</v>
      </c>
      <c r="J13" s="13">
        <f ca="1">ROUNDDOWN(YEARFRAC(EmployeeTable[[#This Row],[Hire Date]], TODAY(), 1), 0)</f>
        <v>7</v>
      </c>
      <c r="K13" s="13">
        <f ca="1">ROUNDDOWN(YEARFRAC(EmployeeTable[[#This Row],[Start Date in Role]], TODAY(), 1), 0)</f>
        <v>4</v>
      </c>
      <c r="L13" s="1">
        <f ca="1">ROUNDDOWN(YEARFRAC(EmployeeTable[[#This Row],[DOB]], TODAY(), 1), 0)</f>
        <v>40</v>
      </c>
      <c r="M13" s="1">
        <f ca="1">IF(EmployeeTable[[#This Row],[Age]]&gt;54,1,0)</f>
        <v>0</v>
      </c>
      <c r="N13" s="1">
        <f>VLOOKUP(EmployeeTable[[#This Row],[Role]],'3. Setup &amp; Role Data'!$G$9:$I$109,2,FALSE)</f>
        <v>120000</v>
      </c>
      <c r="O13" s="1" t="str">
        <f ca="1">IF(EmployeeTable[[#This Row],[Tenure]]&lt;2,"1 Year or Less",IF(EmployeeTable[[#This Row],[Tenure]]&lt;=5,"2-5 Years",IF(EmployeeTable[[#This Row],[Tenure]]&lt;10,"6-10 Years","10+ Years")))</f>
        <v>6-10 Years</v>
      </c>
      <c r="P13" s="1" t="str">
        <f ca="1">IF(EmployeeTable[[#This Row],[Role Tenure]]&lt;2,"1 Year or Less",IF(EmployeeTable[[#This Row],[Role Tenure]]&lt;=5,"2-5 Years",IF(EmployeeTable[[#This Row],[Role Tenure]]&lt;10,"6-10 Years","10+ Years")))</f>
        <v>2-5 Years</v>
      </c>
      <c r="Q1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14" spans="2:17" x14ac:dyDescent="0.2">
      <c r="B14" s="186">
        <v>7442</v>
      </c>
      <c r="C14" s="186" t="s">
        <v>36</v>
      </c>
      <c r="D14" s="186" t="s">
        <v>27</v>
      </c>
      <c r="E14" s="187">
        <v>31113</v>
      </c>
      <c r="F14" s="187">
        <v>26333</v>
      </c>
      <c r="G14" s="187">
        <v>26990</v>
      </c>
      <c r="H14" s="186" t="s">
        <v>67</v>
      </c>
      <c r="I14" s="186" t="s">
        <v>37</v>
      </c>
      <c r="J14" s="13">
        <f ca="1">ROUNDDOWN(YEARFRAC(EmployeeTable[[#This Row],[Hire Date]], TODAY(), 1), 0)</f>
        <v>35</v>
      </c>
      <c r="K14" s="13">
        <f ca="1">ROUNDDOWN(YEARFRAC(EmployeeTable[[#This Row],[Start Date in Role]], TODAY(), 1), 0)</f>
        <v>48</v>
      </c>
      <c r="L14" s="1">
        <f ca="1">ROUNDDOWN(YEARFRAC(EmployeeTable[[#This Row],[DOB]], TODAY(), 1), 0)</f>
        <v>46</v>
      </c>
      <c r="M14" s="1">
        <f ca="1">IF(EmployeeTable[[#This Row],[Age]]&gt;54,1,0)</f>
        <v>0</v>
      </c>
      <c r="N14" s="1">
        <f>VLOOKUP(EmployeeTable[[#This Row],[Role]],'3. Setup &amp; Role Data'!$G$9:$I$109,2,FALSE)</f>
        <v>65000</v>
      </c>
      <c r="O14" s="1" t="str">
        <f ca="1">IF(EmployeeTable[[#This Row],[Tenure]]&lt;2,"1 Year or Less",IF(EmployeeTable[[#This Row],[Tenure]]&lt;=5,"2-5 Years",IF(EmployeeTable[[#This Row],[Tenure]]&lt;10,"6-10 Years","10+ Years")))</f>
        <v>10+ Years</v>
      </c>
      <c r="P14" s="1" t="str">
        <f ca="1">IF(EmployeeTable[[#This Row],[Role Tenure]]&lt;2,"1 Year or Less",IF(EmployeeTable[[#This Row],[Role Tenure]]&lt;=5,"2-5 Years",IF(EmployeeTable[[#This Row],[Role Tenure]]&lt;10,"6-10 Years","10+ Years")))</f>
        <v>10+ Years</v>
      </c>
      <c r="Q1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15" spans="2:17" x14ac:dyDescent="0.2">
      <c r="B15" s="186">
        <v>8432</v>
      </c>
      <c r="C15" s="186" t="s">
        <v>36</v>
      </c>
      <c r="D15" s="186" t="s">
        <v>46</v>
      </c>
      <c r="E15" s="187">
        <v>26726</v>
      </c>
      <c r="F15" s="187">
        <v>41932</v>
      </c>
      <c r="G15" s="187">
        <v>26502</v>
      </c>
      <c r="H15" s="186" t="s">
        <v>67</v>
      </c>
      <c r="I15" s="186" t="s">
        <v>40</v>
      </c>
      <c r="J15" s="13">
        <f ca="1">ROUNDDOWN(YEARFRAC(EmployeeTable[[#This Row],[Hire Date]], TODAY(), 1), 0)</f>
        <v>47</v>
      </c>
      <c r="K15" s="13">
        <f ca="1">ROUNDDOWN(YEARFRAC(EmployeeTable[[#This Row],[Start Date in Role]], TODAY(), 1), 0)</f>
        <v>5</v>
      </c>
      <c r="L15" s="1">
        <f ca="1">ROUNDDOWN(YEARFRAC(EmployeeTable[[#This Row],[DOB]], TODAY(), 1), 0)</f>
        <v>47</v>
      </c>
      <c r="M15" s="1">
        <f ca="1">IF(EmployeeTable[[#This Row],[Age]]&gt;54,1,0)</f>
        <v>0</v>
      </c>
      <c r="N15" s="1">
        <f>VLOOKUP(EmployeeTable[[#This Row],[Role]],'3. Setup &amp; Role Data'!$G$9:$I$109,2,FALSE)</f>
        <v>120000</v>
      </c>
      <c r="O15" s="1" t="str">
        <f ca="1">IF(EmployeeTable[[#This Row],[Tenure]]&lt;2,"1 Year or Less",IF(EmployeeTable[[#This Row],[Tenure]]&lt;=5,"2-5 Years",IF(EmployeeTable[[#This Row],[Tenure]]&lt;10,"6-10 Years","10+ Years")))</f>
        <v>10+ Years</v>
      </c>
      <c r="P15" s="1" t="str">
        <f ca="1">IF(EmployeeTable[[#This Row],[Role Tenure]]&lt;2,"1 Year or Less",IF(EmployeeTable[[#This Row],[Role Tenure]]&lt;=5,"2-5 Years",IF(EmployeeTable[[#This Row],[Role Tenure]]&lt;10,"6-10 Years","10+ Years")))</f>
        <v>2-5 Years</v>
      </c>
      <c r="Q1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16" spans="2:17" x14ac:dyDescent="0.2">
      <c r="B16" s="186">
        <v>1724</v>
      </c>
      <c r="C16" s="186" t="s">
        <v>36</v>
      </c>
      <c r="D16" s="186" t="s">
        <v>44</v>
      </c>
      <c r="E16" s="187">
        <v>41162</v>
      </c>
      <c r="F16" s="187">
        <v>35632</v>
      </c>
      <c r="G16" s="187">
        <v>33448</v>
      </c>
      <c r="H16" s="186" t="s">
        <v>68</v>
      </c>
      <c r="I16" s="186" t="s">
        <v>40</v>
      </c>
      <c r="J16" s="13">
        <f ca="1">ROUNDDOWN(YEARFRAC(EmployeeTable[[#This Row],[Hire Date]], TODAY(), 1), 0)</f>
        <v>7</v>
      </c>
      <c r="K16" s="13">
        <f ca="1">ROUNDDOWN(YEARFRAC(EmployeeTable[[#This Row],[Start Date in Role]], TODAY(), 1), 0)</f>
        <v>22</v>
      </c>
      <c r="L16" s="1">
        <f ca="1">ROUNDDOWN(YEARFRAC(EmployeeTable[[#This Row],[DOB]], TODAY(), 1), 0)</f>
        <v>28</v>
      </c>
      <c r="M16" s="1">
        <f ca="1">IF(EmployeeTable[[#This Row],[Age]]&gt;54,1,0)</f>
        <v>0</v>
      </c>
      <c r="N16" s="1">
        <f>VLOOKUP(EmployeeTable[[#This Row],[Role]],'3. Setup &amp; Role Data'!$G$9:$I$109,2,FALSE)</f>
        <v>60000</v>
      </c>
      <c r="O16" s="1" t="str">
        <f ca="1">IF(EmployeeTable[[#This Row],[Tenure]]&lt;2,"1 Year or Less",IF(EmployeeTable[[#This Row],[Tenure]]&lt;=5,"2-5 Years",IF(EmployeeTable[[#This Row],[Tenure]]&lt;10,"6-10 Years","10+ Years")))</f>
        <v>6-10 Years</v>
      </c>
      <c r="P16" s="1" t="str">
        <f ca="1">IF(EmployeeTable[[#This Row],[Role Tenure]]&lt;2,"1 Year or Less",IF(EmployeeTable[[#This Row],[Role Tenure]]&lt;=5,"2-5 Years",IF(EmployeeTable[[#This Row],[Role Tenure]]&lt;10,"6-10 Years","10+ Years")))</f>
        <v>10+ Years</v>
      </c>
      <c r="Q1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17" spans="2:17" x14ac:dyDescent="0.2">
      <c r="B17" s="186">
        <v>5894</v>
      </c>
      <c r="C17" s="186" t="s">
        <v>36</v>
      </c>
      <c r="D17" s="186" t="s">
        <v>44</v>
      </c>
      <c r="E17" s="187">
        <v>26760</v>
      </c>
      <c r="F17" s="187">
        <v>39883</v>
      </c>
      <c r="G17" s="187">
        <v>31927</v>
      </c>
      <c r="H17" s="186" t="s">
        <v>67</v>
      </c>
      <c r="I17" s="186" t="s">
        <v>40</v>
      </c>
      <c r="J17" s="13">
        <f ca="1">ROUNDDOWN(YEARFRAC(EmployeeTable[[#This Row],[Hire Date]], TODAY(), 1), 0)</f>
        <v>46</v>
      </c>
      <c r="K17" s="13">
        <f ca="1">ROUNDDOWN(YEARFRAC(EmployeeTable[[#This Row],[Start Date in Role]], TODAY(), 1), 0)</f>
        <v>11</v>
      </c>
      <c r="L17" s="1">
        <f ca="1">ROUNDDOWN(YEARFRAC(EmployeeTable[[#This Row],[DOB]], TODAY(), 1), 0)</f>
        <v>32</v>
      </c>
      <c r="M17" s="1">
        <f ca="1">IF(EmployeeTable[[#This Row],[Age]]&gt;54,1,0)</f>
        <v>0</v>
      </c>
      <c r="N17" s="1">
        <f>VLOOKUP(EmployeeTable[[#This Row],[Role]],'3. Setup &amp; Role Data'!$G$9:$I$109,2,FALSE)</f>
        <v>60000</v>
      </c>
      <c r="O17" s="1" t="str">
        <f ca="1">IF(EmployeeTable[[#This Row],[Tenure]]&lt;2,"1 Year or Less",IF(EmployeeTable[[#This Row],[Tenure]]&lt;=5,"2-5 Years",IF(EmployeeTable[[#This Row],[Tenure]]&lt;10,"6-10 Years","10+ Years")))</f>
        <v>10+ Years</v>
      </c>
      <c r="P17" s="1" t="str">
        <f ca="1">IF(EmployeeTable[[#This Row],[Role Tenure]]&lt;2,"1 Year or Less",IF(EmployeeTable[[#This Row],[Role Tenure]]&lt;=5,"2-5 Years",IF(EmployeeTable[[#This Row],[Role Tenure]]&lt;10,"6-10 Years","10+ Years")))</f>
        <v>10+ Years</v>
      </c>
      <c r="Q1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18" spans="2:17" x14ac:dyDescent="0.2">
      <c r="B18" s="186">
        <v>8180</v>
      </c>
      <c r="C18" s="186" t="s">
        <v>36</v>
      </c>
      <c r="D18" s="186" t="s">
        <v>44</v>
      </c>
      <c r="E18" s="187">
        <v>35053</v>
      </c>
      <c r="F18" s="187">
        <v>18888</v>
      </c>
      <c r="G18" s="187">
        <v>27627</v>
      </c>
      <c r="H18" s="186" t="s">
        <v>67</v>
      </c>
      <c r="I18" s="186" t="s">
        <v>40</v>
      </c>
      <c r="J18" s="13">
        <f ca="1">ROUNDDOWN(YEARFRAC(EmployeeTable[[#This Row],[Hire Date]], TODAY(), 1), 0)</f>
        <v>24</v>
      </c>
      <c r="K18" s="13">
        <f ca="1">ROUNDDOWN(YEARFRAC(EmployeeTable[[#This Row],[Start Date in Role]], TODAY(), 1), 0)</f>
        <v>68</v>
      </c>
      <c r="L18" s="1">
        <f ca="1">ROUNDDOWN(YEARFRAC(EmployeeTable[[#This Row],[DOB]], TODAY(), 1), 0)</f>
        <v>44</v>
      </c>
      <c r="M18" s="1">
        <f ca="1">IF(EmployeeTable[[#This Row],[Age]]&gt;54,1,0)</f>
        <v>0</v>
      </c>
      <c r="N18" s="1">
        <f>VLOOKUP(EmployeeTable[[#This Row],[Role]],'3. Setup &amp; Role Data'!$G$9:$I$109,2,FALSE)</f>
        <v>60000</v>
      </c>
      <c r="O18" s="1" t="str">
        <f ca="1">IF(EmployeeTable[[#This Row],[Tenure]]&lt;2,"1 Year or Less",IF(EmployeeTable[[#This Row],[Tenure]]&lt;=5,"2-5 Years",IF(EmployeeTable[[#This Row],[Tenure]]&lt;10,"6-10 Years","10+ Years")))</f>
        <v>10+ Years</v>
      </c>
      <c r="P18" s="1" t="str">
        <f ca="1">IF(EmployeeTable[[#This Row],[Role Tenure]]&lt;2,"1 Year or Less",IF(EmployeeTable[[#This Row],[Role Tenure]]&lt;=5,"2-5 Years",IF(EmployeeTable[[#This Row],[Role Tenure]]&lt;10,"6-10 Years","10+ Years")))</f>
        <v>10+ Years</v>
      </c>
      <c r="Q1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19" spans="2:17" x14ac:dyDescent="0.2">
      <c r="B19" s="186">
        <v>1075</v>
      </c>
      <c r="C19" s="186" t="s">
        <v>36</v>
      </c>
      <c r="D19" s="186" t="s">
        <v>44</v>
      </c>
      <c r="E19" s="187">
        <v>42269</v>
      </c>
      <c r="F19" s="187">
        <v>37760</v>
      </c>
      <c r="G19" s="187">
        <v>18503</v>
      </c>
      <c r="H19" s="186" t="s">
        <v>67</v>
      </c>
      <c r="I19" s="186" t="s">
        <v>40</v>
      </c>
      <c r="J19" s="13">
        <f ca="1">ROUNDDOWN(YEARFRAC(EmployeeTable[[#This Row],[Hire Date]], TODAY(), 1), 0)</f>
        <v>4</v>
      </c>
      <c r="K19" s="13">
        <f ca="1">ROUNDDOWN(YEARFRAC(EmployeeTable[[#This Row],[Start Date in Role]], TODAY(), 1), 0)</f>
        <v>16</v>
      </c>
      <c r="L19" s="1">
        <f ca="1">ROUNDDOWN(YEARFRAC(EmployeeTable[[#This Row],[DOB]], TODAY(), 1), 0)</f>
        <v>69</v>
      </c>
      <c r="M19" s="1">
        <f ca="1">IF(EmployeeTable[[#This Row],[Age]]&gt;54,1,0)</f>
        <v>1</v>
      </c>
      <c r="N19" s="1">
        <f>VLOOKUP(EmployeeTable[[#This Row],[Role]],'3. Setup &amp; Role Data'!$G$9:$I$109,2,FALSE)</f>
        <v>60000</v>
      </c>
      <c r="O19" s="1" t="str">
        <f ca="1">IF(EmployeeTable[[#This Row],[Tenure]]&lt;2,"1 Year or Less",IF(EmployeeTable[[#This Row],[Tenure]]&lt;=5,"2-5 Years",IF(EmployeeTable[[#This Row],[Tenure]]&lt;10,"6-10 Years","10+ Years")))</f>
        <v>2-5 Years</v>
      </c>
      <c r="P19" s="1" t="str">
        <f ca="1">IF(EmployeeTable[[#This Row],[Role Tenure]]&lt;2,"1 Year or Less",IF(EmployeeTable[[#This Row],[Role Tenure]]&lt;=5,"2-5 Years",IF(EmployeeTable[[#This Row],[Role Tenure]]&lt;10,"6-10 Years","10+ Years")))</f>
        <v>10+ Years</v>
      </c>
      <c r="Q1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20" spans="2:17" x14ac:dyDescent="0.2">
      <c r="B20" s="186">
        <v>7320</v>
      </c>
      <c r="C20" s="186" t="s">
        <v>36</v>
      </c>
      <c r="D20" s="186" t="s">
        <v>44</v>
      </c>
      <c r="E20" s="187">
        <v>36753</v>
      </c>
      <c r="F20" s="187">
        <v>36692</v>
      </c>
      <c r="G20" s="187">
        <v>20423</v>
      </c>
      <c r="H20" s="186" t="s">
        <v>67</v>
      </c>
      <c r="I20" s="186" t="s">
        <v>40</v>
      </c>
      <c r="J20" s="13">
        <f ca="1">ROUNDDOWN(YEARFRAC(EmployeeTable[[#This Row],[Hire Date]], TODAY(), 1), 0)</f>
        <v>19</v>
      </c>
      <c r="K20" s="13">
        <f ca="1">ROUNDDOWN(YEARFRAC(EmployeeTable[[#This Row],[Start Date in Role]], TODAY(), 1), 0)</f>
        <v>19</v>
      </c>
      <c r="L20" s="1">
        <f ca="1">ROUNDDOWN(YEARFRAC(EmployeeTable[[#This Row],[DOB]], TODAY(), 1), 0)</f>
        <v>64</v>
      </c>
      <c r="M20" s="1">
        <f ca="1">IF(EmployeeTable[[#This Row],[Age]]&gt;54,1,0)</f>
        <v>1</v>
      </c>
      <c r="N20" s="1">
        <f>VLOOKUP(EmployeeTable[[#This Row],[Role]],'3. Setup &amp; Role Data'!$G$9:$I$109,2,FALSE)</f>
        <v>60000</v>
      </c>
      <c r="O20" s="1" t="str">
        <f ca="1">IF(EmployeeTable[[#This Row],[Tenure]]&lt;2,"1 Year or Less",IF(EmployeeTable[[#This Row],[Tenure]]&lt;=5,"2-5 Years",IF(EmployeeTable[[#This Row],[Tenure]]&lt;10,"6-10 Years","10+ Years")))</f>
        <v>10+ Years</v>
      </c>
      <c r="P20" s="1" t="str">
        <f ca="1">IF(EmployeeTable[[#This Row],[Role Tenure]]&lt;2,"1 Year or Less",IF(EmployeeTable[[#This Row],[Role Tenure]]&lt;=5,"2-5 Years",IF(EmployeeTable[[#This Row],[Role Tenure]]&lt;10,"6-10 Years","10+ Years")))</f>
        <v>10+ Years</v>
      </c>
      <c r="Q2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21" spans="2:17" x14ac:dyDescent="0.2">
      <c r="B21" s="186">
        <v>5185</v>
      </c>
      <c r="C21" s="186" t="s">
        <v>36</v>
      </c>
      <c r="D21" s="186" t="s">
        <v>44</v>
      </c>
      <c r="E21" s="187">
        <v>37515</v>
      </c>
      <c r="F21" s="187">
        <v>38949</v>
      </c>
      <c r="G21" s="187">
        <v>25335</v>
      </c>
      <c r="H21" s="186" t="s">
        <v>67</v>
      </c>
      <c r="I21" s="186" t="s">
        <v>37</v>
      </c>
      <c r="J21" s="13">
        <f ca="1">ROUNDDOWN(YEARFRAC(EmployeeTable[[#This Row],[Hire Date]], TODAY(), 1), 0)</f>
        <v>17</v>
      </c>
      <c r="K21" s="13">
        <f ca="1">ROUNDDOWN(YEARFRAC(EmployeeTable[[#This Row],[Start Date in Role]], TODAY(), 1), 0)</f>
        <v>13</v>
      </c>
      <c r="L21" s="1">
        <f ca="1">ROUNDDOWN(YEARFRAC(EmployeeTable[[#This Row],[DOB]], TODAY(), 1), 0)</f>
        <v>50</v>
      </c>
      <c r="M21" s="1">
        <f ca="1">IF(EmployeeTable[[#This Row],[Age]]&gt;54,1,0)</f>
        <v>0</v>
      </c>
      <c r="N21" s="1">
        <f>VLOOKUP(EmployeeTable[[#This Row],[Role]],'3. Setup &amp; Role Data'!$G$9:$I$109,2,FALSE)</f>
        <v>60000</v>
      </c>
      <c r="O21" s="1" t="str">
        <f ca="1">IF(EmployeeTable[[#This Row],[Tenure]]&lt;2,"1 Year or Less",IF(EmployeeTable[[#This Row],[Tenure]]&lt;=5,"2-5 Years",IF(EmployeeTable[[#This Row],[Tenure]]&lt;10,"6-10 Years","10+ Years")))</f>
        <v>10+ Years</v>
      </c>
      <c r="P21" s="1" t="str">
        <f ca="1">IF(EmployeeTable[[#This Row],[Role Tenure]]&lt;2,"1 Year or Less",IF(EmployeeTable[[#This Row],[Role Tenure]]&lt;=5,"2-5 Years",IF(EmployeeTable[[#This Row],[Role Tenure]]&lt;10,"6-10 Years","10+ Years")))</f>
        <v>10+ Years</v>
      </c>
      <c r="Q2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22" spans="2:17" x14ac:dyDescent="0.2">
      <c r="B22" s="186">
        <v>9284</v>
      </c>
      <c r="C22" s="186" t="s">
        <v>36</v>
      </c>
      <c r="D22" s="186" t="s">
        <v>44</v>
      </c>
      <c r="E22" s="187">
        <v>36541</v>
      </c>
      <c r="F22" s="187">
        <v>21638</v>
      </c>
      <c r="G22" s="187">
        <v>26007</v>
      </c>
      <c r="H22" s="186" t="s">
        <v>67</v>
      </c>
      <c r="I22" s="186" t="s">
        <v>40</v>
      </c>
      <c r="J22" s="13">
        <f ca="1">ROUNDDOWN(YEARFRAC(EmployeeTable[[#This Row],[Hire Date]], TODAY(), 1), 0)</f>
        <v>20</v>
      </c>
      <c r="K22" s="13">
        <f ca="1">ROUNDDOWN(YEARFRAC(EmployeeTable[[#This Row],[Start Date in Role]], TODAY(), 1), 0)</f>
        <v>60</v>
      </c>
      <c r="L22" s="1">
        <f ca="1">ROUNDDOWN(YEARFRAC(EmployeeTable[[#This Row],[DOB]], TODAY(), 1), 0)</f>
        <v>49</v>
      </c>
      <c r="M22" s="1">
        <f ca="1">IF(EmployeeTable[[#This Row],[Age]]&gt;54,1,0)</f>
        <v>0</v>
      </c>
      <c r="N22" s="1">
        <f>VLOOKUP(EmployeeTable[[#This Row],[Role]],'3. Setup &amp; Role Data'!$G$9:$I$109,2,FALSE)</f>
        <v>60000</v>
      </c>
      <c r="O22" s="1" t="str">
        <f ca="1">IF(EmployeeTable[[#This Row],[Tenure]]&lt;2,"1 Year or Less",IF(EmployeeTable[[#This Row],[Tenure]]&lt;=5,"2-5 Years",IF(EmployeeTable[[#This Row],[Tenure]]&lt;10,"6-10 Years","10+ Years")))</f>
        <v>10+ Years</v>
      </c>
      <c r="P22" s="1" t="str">
        <f ca="1">IF(EmployeeTable[[#This Row],[Role Tenure]]&lt;2,"1 Year or Less",IF(EmployeeTable[[#This Row],[Role Tenure]]&lt;=5,"2-5 Years",IF(EmployeeTable[[#This Row],[Role Tenure]]&lt;10,"6-10 Years","10+ Years")))</f>
        <v>10+ Years</v>
      </c>
      <c r="Q2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23" spans="2:17" x14ac:dyDescent="0.2">
      <c r="B23" s="186">
        <v>3790</v>
      </c>
      <c r="C23" s="186" t="s">
        <v>36</v>
      </c>
      <c r="D23" s="186" t="s">
        <v>44</v>
      </c>
      <c r="E23" s="187">
        <v>24845</v>
      </c>
      <c r="F23" s="187">
        <v>30811</v>
      </c>
      <c r="G23" s="187">
        <v>26828</v>
      </c>
      <c r="H23" s="186" t="s">
        <v>67</v>
      </c>
      <c r="I23" s="186" t="s">
        <v>40</v>
      </c>
      <c r="J23" s="13">
        <f ca="1">ROUNDDOWN(YEARFRAC(EmployeeTable[[#This Row],[Hire Date]], TODAY(), 1), 0)</f>
        <v>52</v>
      </c>
      <c r="K23" s="13">
        <f ca="1">ROUNDDOWN(YEARFRAC(EmployeeTable[[#This Row],[Start Date in Role]], TODAY(), 1), 0)</f>
        <v>35</v>
      </c>
      <c r="L23" s="1">
        <f ca="1">ROUNDDOWN(YEARFRAC(EmployeeTable[[#This Row],[DOB]], TODAY(), 1), 0)</f>
        <v>46</v>
      </c>
      <c r="M23" s="1">
        <f ca="1">IF(EmployeeTable[[#This Row],[Age]]&gt;54,1,0)</f>
        <v>0</v>
      </c>
      <c r="N23" s="1">
        <f>VLOOKUP(EmployeeTable[[#This Row],[Role]],'3. Setup &amp; Role Data'!$G$9:$I$109,2,FALSE)</f>
        <v>60000</v>
      </c>
      <c r="O23" s="1" t="str">
        <f ca="1">IF(EmployeeTable[[#This Row],[Tenure]]&lt;2,"1 Year or Less",IF(EmployeeTable[[#This Row],[Tenure]]&lt;=5,"2-5 Years",IF(EmployeeTable[[#This Row],[Tenure]]&lt;10,"6-10 Years","10+ Years")))</f>
        <v>10+ Years</v>
      </c>
      <c r="P23" s="1" t="str">
        <f ca="1">IF(EmployeeTable[[#This Row],[Role Tenure]]&lt;2,"1 Year or Less",IF(EmployeeTable[[#This Row],[Role Tenure]]&lt;=5,"2-5 Years",IF(EmployeeTable[[#This Row],[Role Tenure]]&lt;10,"6-10 Years","10+ Years")))</f>
        <v>10+ Years</v>
      </c>
      <c r="Q2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24" spans="2:17" x14ac:dyDescent="0.2">
      <c r="B24" s="186">
        <v>5626</v>
      </c>
      <c r="C24" s="186" t="s">
        <v>36</v>
      </c>
      <c r="D24" s="186" t="s">
        <v>44</v>
      </c>
      <c r="E24" s="187">
        <v>25394</v>
      </c>
      <c r="F24" s="187">
        <v>27988</v>
      </c>
      <c r="G24" s="187">
        <v>29836</v>
      </c>
      <c r="H24" s="186" t="s">
        <v>67</v>
      </c>
      <c r="I24" s="186" t="s">
        <v>40</v>
      </c>
      <c r="J24" s="13">
        <f ca="1">ROUNDDOWN(YEARFRAC(EmployeeTable[[#This Row],[Hire Date]], TODAY(), 1), 0)</f>
        <v>50</v>
      </c>
      <c r="K24" s="13">
        <f ca="1">ROUNDDOWN(YEARFRAC(EmployeeTable[[#This Row],[Start Date in Role]], TODAY(), 1), 0)</f>
        <v>43</v>
      </c>
      <c r="L24" s="1">
        <f ca="1">ROUNDDOWN(YEARFRAC(EmployeeTable[[#This Row],[DOB]], TODAY(), 1), 0)</f>
        <v>38</v>
      </c>
      <c r="M24" s="1">
        <f ca="1">IF(EmployeeTable[[#This Row],[Age]]&gt;54,1,0)</f>
        <v>0</v>
      </c>
      <c r="N24" s="1">
        <f>VLOOKUP(EmployeeTable[[#This Row],[Role]],'3. Setup &amp; Role Data'!$G$9:$I$109,2,FALSE)</f>
        <v>60000</v>
      </c>
      <c r="O24" s="1" t="str">
        <f ca="1">IF(EmployeeTable[[#This Row],[Tenure]]&lt;2,"1 Year or Less",IF(EmployeeTable[[#This Row],[Tenure]]&lt;=5,"2-5 Years",IF(EmployeeTable[[#This Row],[Tenure]]&lt;10,"6-10 Years","10+ Years")))</f>
        <v>10+ Years</v>
      </c>
      <c r="P24" s="1" t="str">
        <f ca="1">IF(EmployeeTable[[#This Row],[Role Tenure]]&lt;2,"1 Year or Less",IF(EmployeeTable[[#This Row],[Role Tenure]]&lt;=5,"2-5 Years",IF(EmployeeTable[[#This Row],[Role Tenure]]&lt;10,"6-10 Years","10+ Years")))</f>
        <v>10+ Years</v>
      </c>
      <c r="Q2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25" spans="2:17" x14ac:dyDescent="0.2">
      <c r="B25" s="186">
        <v>6319</v>
      </c>
      <c r="C25" s="186" t="s">
        <v>36</v>
      </c>
      <c r="D25" s="186" t="s">
        <v>44</v>
      </c>
      <c r="E25" s="187">
        <v>29835</v>
      </c>
      <c r="F25" s="187">
        <v>23649</v>
      </c>
      <c r="G25" s="187">
        <v>19264</v>
      </c>
      <c r="H25" s="186" t="s">
        <v>67</v>
      </c>
      <c r="I25" s="186" t="s">
        <v>40</v>
      </c>
      <c r="J25" s="13">
        <f ca="1">ROUNDDOWN(YEARFRAC(EmployeeTable[[#This Row],[Hire Date]], TODAY(), 1), 0)</f>
        <v>38</v>
      </c>
      <c r="K25" s="13">
        <f ca="1">ROUNDDOWN(YEARFRAC(EmployeeTable[[#This Row],[Start Date in Role]], TODAY(), 1), 0)</f>
        <v>55</v>
      </c>
      <c r="L25" s="1">
        <f ca="1">ROUNDDOWN(YEARFRAC(EmployeeTable[[#This Row],[DOB]], TODAY(), 1), 0)</f>
        <v>67</v>
      </c>
      <c r="M25" s="1">
        <f ca="1">IF(EmployeeTable[[#This Row],[Age]]&gt;54,1,0)</f>
        <v>1</v>
      </c>
      <c r="N25" s="1">
        <f>VLOOKUP(EmployeeTable[[#This Row],[Role]],'3. Setup &amp; Role Data'!$G$9:$I$109,2,FALSE)</f>
        <v>60000</v>
      </c>
      <c r="O25" s="1" t="str">
        <f ca="1">IF(EmployeeTable[[#This Row],[Tenure]]&lt;2,"1 Year or Less",IF(EmployeeTable[[#This Row],[Tenure]]&lt;=5,"2-5 Years",IF(EmployeeTable[[#This Row],[Tenure]]&lt;10,"6-10 Years","10+ Years")))</f>
        <v>10+ Years</v>
      </c>
      <c r="P25" s="1" t="str">
        <f ca="1">IF(EmployeeTable[[#This Row],[Role Tenure]]&lt;2,"1 Year or Less",IF(EmployeeTable[[#This Row],[Role Tenure]]&lt;=5,"2-5 Years",IF(EmployeeTable[[#This Row],[Role Tenure]]&lt;10,"6-10 Years","10+ Years")))</f>
        <v>10+ Years</v>
      </c>
      <c r="Q2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26" spans="2:17" x14ac:dyDescent="0.2">
      <c r="B26" s="186">
        <v>6190</v>
      </c>
      <c r="C26" s="186" t="s">
        <v>36</v>
      </c>
      <c r="D26" s="186" t="s">
        <v>44</v>
      </c>
      <c r="E26" s="187">
        <v>31140</v>
      </c>
      <c r="F26" s="187">
        <v>20771</v>
      </c>
      <c r="G26" s="187">
        <v>27882</v>
      </c>
      <c r="H26" s="186" t="s">
        <v>68</v>
      </c>
      <c r="I26" s="186" t="s">
        <v>28</v>
      </c>
      <c r="J26" s="13">
        <f ca="1">ROUNDDOWN(YEARFRAC(EmployeeTable[[#This Row],[Hire Date]], TODAY(), 1), 0)</f>
        <v>34</v>
      </c>
      <c r="K26" s="13">
        <f ca="1">ROUNDDOWN(YEARFRAC(EmployeeTable[[#This Row],[Start Date in Role]], TODAY(), 1), 0)</f>
        <v>63</v>
      </c>
      <c r="L26" s="1">
        <f ca="1">ROUNDDOWN(YEARFRAC(EmployeeTable[[#This Row],[DOB]], TODAY(), 1), 0)</f>
        <v>43</v>
      </c>
      <c r="M26" s="1">
        <f ca="1">IF(EmployeeTable[[#This Row],[Age]]&gt;54,1,0)</f>
        <v>0</v>
      </c>
      <c r="N26" s="1">
        <f>VLOOKUP(EmployeeTable[[#This Row],[Role]],'3. Setup &amp; Role Data'!$G$9:$I$109,2,FALSE)</f>
        <v>60000</v>
      </c>
      <c r="O26" s="1" t="str">
        <f ca="1">IF(EmployeeTable[[#This Row],[Tenure]]&lt;2,"1 Year or Less",IF(EmployeeTable[[#This Row],[Tenure]]&lt;=5,"2-5 Years",IF(EmployeeTable[[#This Row],[Tenure]]&lt;10,"6-10 Years","10+ Years")))</f>
        <v>10+ Years</v>
      </c>
      <c r="P26" s="1" t="str">
        <f ca="1">IF(EmployeeTable[[#This Row],[Role Tenure]]&lt;2,"1 Year or Less",IF(EmployeeTable[[#This Row],[Role Tenure]]&lt;=5,"2-5 Years",IF(EmployeeTable[[#This Row],[Role Tenure]]&lt;10,"6-10 Years","10+ Years")))</f>
        <v>10+ Years</v>
      </c>
      <c r="Q2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27" spans="2:17" x14ac:dyDescent="0.2">
      <c r="B27" s="186">
        <v>9438</v>
      </c>
      <c r="C27" s="186" t="s">
        <v>36</v>
      </c>
      <c r="D27" s="186" t="s">
        <v>44</v>
      </c>
      <c r="E27" s="187">
        <v>34989</v>
      </c>
      <c r="F27" s="187">
        <v>35165</v>
      </c>
      <c r="G27" s="187">
        <v>28282</v>
      </c>
      <c r="H27" s="186" t="s">
        <v>67</v>
      </c>
      <c r="I27" s="186" t="s">
        <v>37</v>
      </c>
      <c r="J27" s="13">
        <f ca="1">ROUNDDOWN(YEARFRAC(EmployeeTable[[#This Row],[Hire Date]], TODAY(), 1), 0)</f>
        <v>24</v>
      </c>
      <c r="K27" s="13">
        <f ca="1">ROUNDDOWN(YEARFRAC(EmployeeTable[[#This Row],[Start Date in Role]], TODAY(), 1), 0)</f>
        <v>23</v>
      </c>
      <c r="L27" s="1">
        <f ca="1">ROUNDDOWN(YEARFRAC(EmployeeTable[[#This Row],[DOB]], TODAY(), 1), 0)</f>
        <v>42</v>
      </c>
      <c r="M27" s="1">
        <f ca="1">IF(EmployeeTable[[#This Row],[Age]]&gt;54,1,0)</f>
        <v>0</v>
      </c>
      <c r="N27" s="1">
        <f>VLOOKUP(EmployeeTable[[#This Row],[Role]],'3. Setup &amp; Role Data'!$G$9:$I$109,2,FALSE)</f>
        <v>60000</v>
      </c>
      <c r="O27" s="1" t="str">
        <f ca="1">IF(EmployeeTable[[#This Row],[Tenure]]&lt;2,"1 Year or Less",IF(EmployeeTable[[#This Row],[Tenure]]&lt;=5,"2-5 Years",IF(EmployeeTable[[#This Row],[Tenure]]&lt;10,"6-10 Years","10+ Years")))</f>
        <v>10+ Years</v>
      </c>
      <c r="P27" s="1" t="str">
        <f ca="1">IF(EmployeeTable[[#This Row],[Role Tenure]]&lt;2,"1 Year or Less",IF(EmployeeTable[[#This Row],[Role Tenure]]&lt;=5,"2-5 Years",IF(EmployeeTable[[#This Row],[Role Tenure]]&lt;10,"6-10 Years","10+ Years")))</f>
        <v>10+ Years</v>
      </c>
      <c r="Q2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28" spans="2:17" x14ac:dyDescent="0.2">
      <c r="B28" s="186">
        <v>4955</v>
      </c>
      <c r="C28" s="186" t="s">
        <v>36</v>
      </c>
      <c r="D28" s="186" t="s">
        <v>44</v>
      </c>
      <c r="E28" s="187">
        <v>33571</v>
      </c>
      <c r="F28" s="187">
        <v>39991</v>
      </c>
      <c r="G28" s="187">
        <v>25647</v>
      </c>
      <c r="H28" s="186" t="s">
        <v>68</v>
      </c>
      <c r="I28" s="186" t="s">
        <v>28</v>
      </c>
      <c r="J28" s="13">
        <f ca="1">ROUNDDOWN(YEARFRAC(EmployeeTable[[#This Row],[Hire Date]], TODAY(), 1), 0)</f>
        <v>28</v>
      </c>
      <c r="K28" s="13">
        <f ca="1">ROUNDDOWN(YEARFRAC(EmployeeTable[[#This Row],[Start Date in Role]], TODAY(), 1), 0)</f>
        <v>10</v>
      </c>
      <c r="L28" s="1">
        <f ca="1">ROUNDDOWN(YEARFRAC(EmployeeTable[[#This Row],[DOB]], TODAY(), 1), 0)</f>
        <v>49</v>
      </c>
      <c r="M28" s="1">
        <f ca="1">IF(EmployeeTable[[#This Row],[Age]]&gt;54,1,0)</f>
        <v>0</v>
      </c>
      <c r="N28" s="1">
        <f>VLOOKUP(EmployeeTable[[#This Row],[Role]],'3. Setup &amp; Role Data'!$G$9:$I$109,2,FALSE)</f>
        <v>60000</v>
      </c>
      <c r="O28" s="1" t="str">
        <f ca="1">IF(EmployeeTable[[#This Row],[Tenure]]&lt;2,"1 Year or Less",IF(EmployeeTable[[#This Row],[Tenure]]&lt;=5,"2-5 Years",IF(EmployeeTable[[#This Row],[Tenure]]&lt;10,"6-10 Years","10+ Years")))</f>
        <v>10+ Years</v>
      </c>
      <c r="P28" s="1" t="str">
        <f ca="1">IF(EmployeeTable[[#This Row],[Role Tenure]]&lt;2,"1 Year or Less",IF(EmployeeTable[[#This Row],[Role Tenure]]&lt;=5,"2-5 Years",IF(EmployeeTable[[#This Row],[Role Tenure]]&lt;10,"6-10 Years","10+ Years")))</f>
        <v>10+ Years</v>
      </c>
      <c r="Q2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29" spans="2:17" x14ac:dyDescent="0.2">
      <c r="B29" s="186">
        <v>5402</v>
      </c>
      <c r="C29" s="186" t="s">
        <v>36</v>
      </c>
      <c r="D29" s="186" t="s">
        <v>44</v>
      </c>
      <c r="E29" s="187">
        <v>42126</v>
      </c>
      <c r="F29" s="187">
        <v>40587</v>
      </c>
      <c r="G29" s="187">
        <v>25107</v>
      </c>
      <c r="H29" s="186" t="s">
        <v>67</v>
      </c>
      <c r="I29" s="186" t="s">
        <v>40</v>
      </c>
      <c r="J29" s="13">
        <f ca="1">ROUNDDOWN(YEARFRAC(EmployeeTable[[#This Row],[Hire Date]], TODAY(), 1), 0)</f>
        <v>4</v>
      </c>
      <c r="K29" s="13">
        <f ca="1">ROUNDDOWN(YEARFRAC(EmployeeTable[[#This Row],[Start Date in Role]], TODAY(), 1), 0)</f>
        <v>9</v>
      </c>
      <c r="L29" s="1">
        <f ca="1">ROUNDDOWN(YEARFRAC(EmployeeTable[[#This Row],[DOB]], TODAY(), 1), 0)</f>
        <v>51</v>
      </c>
      <c r="M29" s="1">
        <f ca="1">IF(EmployeeTable[[#This Row],[Age]]&gt;54,1,0)</f>
        <v>0</v>
      </c>
      <c r="N29" s="1">
        <f>VLOOKUP(EmployeeTable[[#This Row],[Role]],'3. Setup &amp; Role Data'!$G$9:$I$109,2,FALSE)</f>
        <v>60000</v>
      </c>
      <c r="O29" s="1" t="str">
        <f ca="1">IF(EmployeeTable[[#This Row],[Tenure]]&lt;2,"1 Year or Less",IF(EmployeeTable[[#This Row],[Tenure]]&lt;=5,"2-5 Years",IF(EmployeeTable[[#This Row],[Tenure]]&lt;10,"6-10 Years","10+ Years")))</f>
        <v>2-5 Years</v>
      </c>
      <c r="P29" s="1" t="str">
        <f ca="1">IF(EmployeeTable[[#This Row],[Role Tenure]]&lt;2,"1 Year or Less",IF(EmployeeTable[[#This Row],[Role Tenure]]&lt;=5,"2-5 Years",IF(EmployeeTable[[#This Row],[Role Tenure]]&lt;10,"6-10 Years","10+ Years")))</f>
        <v>6-10 Years</v>
      </c>
      <c r="Q2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30" spans="2:17" x14ac:dyDescent="0.2">
      <c r="B30" s="186">
        <v>1773</v>
      </c>
      <c r="C30" s="186" t="s">
        <v>36</v>
      </c>
      <c r="D30" s="186" t="s">
        <v>44</v>
      </c>
      <c r="E30" s="187">
        <v>26333</v>
      </c>
      <c r="F30" s="187">
        <v>32561</v>
      </c>
      <c r="G30" s="187">
        <v>33468</v>
      </c>
      <c r="H30" s="186" t="s">
        <v>67</v>
      </c>
      <c r="I30" s="186" t="s">
        <v>37</v>
      </c>
      <c r="J30" s="13">
        <f ca="1">ROUNDDOWN(YEARFRAC(EmployeeTable[[#This Row],[Hire Date]], TODAY(), 1), 0)</f>
        <v>48</v>
      </c>
      <c r="K30" s="13">
        <f ca="1">ROUNDDOWN(YEARFRAC(EmployeeTable[[#This Row],[Start Date in Role]], TODAY(), 1), 0)</f>
        <v>31</v>
      </c>
      <c r="L30" s="1">
        <f ca="1">ROUNDDOWN(YEARFRAC(EmployeeTable[[#This Row],[DOB]], TODAY(), 1), 0)</f>
        <v>28</v>
      </c>
      <c r="M30" s="1">
        <f ca="1">IF(EmployeeTable[[#This Row],[Age]]&gt;54,1,0)</f>
        <v>0</v>
      </c>
      <c r="N30" s="1">
        <f>VLOOKUP(EmployeeTable[[#This Row],[Role]],'3. Setup &amp; Role Data'!$G$9:$I$109,2,FALSE)</f>
        <v>60000</v>
      </c>
      <c r="O30" s="1" t="str">
        <f ca="1">IF(EmployeeTable[[#This Row],[Tenure]]&lt;2,"1 Year or Less",IF(EmployeeTable[[#This Row],[Tenure]]&lt;=5,"2-5 Years",IF(EmployeeTable[[#This Row],[Tenure]]&lt;10,"6-10 Years","10+ Years")))</f>
        <v>10+ Years</v>
      </c>
      <c r="P30" s="1" t="str">
        <f ca="1">IF(EmployeeTable[[#This Row],[Role Tenure]]&lt;2,"1 Year or Less",IF(EmployeeTable[[#This Row],[Role Tenure]]&lt;=5,"2-5 Years",IF(EmployeeTable[[#This Row],[Role Tenure]]&lt;10,"6-10 Years","10+ Years")))</f>
        <v>10+ Years</v>
      </c>
      <c r="Q3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31" spans="2:17" x14ac:dyDescent="0.2">
      <c r="B31" s="186">
        <v>1192</v>
      </c>
      <c r="C31" s="186" t="s">
        <v>36</v>
      </c>
      <c r="D31" s="186" t="s">
        <v>44</v>
      </c>
      <c r="E31" s="187">
        <v>41932</v>
      </c>
      <c r="F31" s="187">
        <v>36425</v>
      </c>
      <c r="G31" s="187">
        <v>20280</v>
      </c>
      <c r="H31" s="186" t="s">
        <v>68</v>
      </c>
      <c r="I31" s="186" t="s">
        <v>28</v>
      </c>
      <c r="J31" s="13">
        <f ca="1">ROUNDDOWN(YEARFRAC(EmployeeTable[[#This Row],[Hire Date]], TODAY(), 1), 0)</f>
        <v>5</v>
      </c>
      <c r="K31" s="13">
        <f ca="1">ROUNDDOWN(YEARFRAC(EmployeeTable[[#This Row],[Start Date in Role]], TODAY(), 1), 0)</f>
        <v>20</v>
      </c>
      <c r="L31" s="1">
        <f ca="1">ROUNDDOWN(YEARFRAC(EmployeeTable[[#This Row],[DOB]], TODAY(), 1), 0)</f>
        <v>64</v>
      </c>
      <c r="M31" s="1">
        <f ca="1">IF(EmployeeTable[[#This Row],[Age]]&gt;54,1,0)</f>
        <v>1</v>
      </c>
      <c r="N31" s="1">
        <f>VLOOKUP(EmployeeTable[[#This Row],[Role]],'3. Setup &amp; Role Data'!$G$9:$I$109,2,FALSE)</f>
        <v>60000</v>
      </c>
      <c r="O31" s="1" t="str">
        <f ca="1">IF(EmployeeTable[[#This Row],[Tenure]]&lt;2,"1 Year or Less",IF(EmployeeTable[[#This Row],[Tenure]]&lt;=5,"2-5 Years",IF(EmployeeTable[[#This Row],[Tenure]]&lt;10,"6-10 Years","10+ Years")))</f>
        <v>2-5 Years</v>
      </c>
      <c r="P31" s="1" t="str">
        <f ca="1">IF(EmployeeTable[[#This Row],[Role Tenure]]&lt;2,"1 Year or Less",IF(EmployeeTable[[#This Row],[Role Tenure]]&lt;=5,"2-5 Years",IF(EmployeeTable[[#This Row],[Role Tenure]]&lt;10,"6-10 Years","10+ Years")))</f>
        <v>10+ Years</v>
      </c>
      <c r="Q3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32" spans="2:17" x14ac:dyDescent="0.2">
      <c r="B32" s="186">
        <v>5471</v>
      </c>
      <c r="C32" s="186" t="s">
        <v>36</v>
      </c>
      <c r="D32" s="186" t="s">
        <v>44</v>
      </c>
      <c r="E32" s="187">
        <v>35632</v>
      </c>
      <c r="F32" s="187">
        <v>41268</v>
      </c>
      <c r="G32" s="187">
        <v>22349</v>
      </c>
      <c r="H32" s="186" t="s">
        <v>67</v>
      </c>
      <c r="I32" s="186" t="s">
        <v>28</v>
      </c>
      <c r="J32" s="13">
        <f ca="1">ROUNDDOWN(YEARFRAC(EmployeeTable[[#This Row],[Hire Date]], TODAY(), 1), 0)</f>
        <v>22</v>
      </c>
      <c r="K32" s="13">
        <f ca="1">ROUNDDOWN(YEARFRAC(EmployeeTable[[#This Row],[Start Date in Role]], TODAY(), 1), 0)</f>
        <v>7</v>
      </c>
      <c r="L32" s="1">
        <f ca="1">ROUNDDOWN(YEARFRAC(EmployeeTable[[#This Row],[DOB]], TODAY(), 1), 0)</f>
        <v>59</v>
      </c>
      <c r="M32" s="1">
        <f ca="1">IF(EmployeeTable[[#This Row],[Age]]&gt;54,1,0)</f>
        <v>1</v>
      </c>
      <c r="N32" s="1">
        <f>VLOOKUP(EmployeeTable[[#This Row],[Role]],'3. Setup &amp; Role Data'!$G$9:$I$109,2,FALSE)</f>
        <v>60000</v>
      </c>
      <c r="O32" s="1" t="str">
        <f ca="1">IF(EmployeeTable[[#This Row],[Tenure]]&lt;2,"1 Year or Less",IF(EmployeeTable[[#This Row],[Tenure]]&lt;=5,"2-5 Years",IF(EmployeeTable[[#This Row],[Tenure]]&lt;10,"6-10 Years","10+ Years")))</f>
        <v>10+ Years</v>
      </c>
      <c r="P32" s="1" t="str">
        <f ca="1">IF(EmployeeTable[[#This Row],[Role Tenure]]&lt;2,"1 Year or Less",IF(EmployeeTable[[#This Row],[Role Tenure]]&lt;=5,"2-5 Years",IF(EmployeeTable[[#This Row],[Role Tenure]]&lt;10,"6-10 Years","10+ Years")))</f>
        <v>6-10 Years</v>
      </c>
      <c r="Q3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33" spans="2:17" x14ac:dyDescent="0.2">
      <c r="B33" s="186">
        <v>3607</v>
      </c>
      <c r="C33" s="186" t="s">
        <v>36</v>
      </c>
      <c r="D33" s="186" t="s">
        <v>44</v>
      </c>
      <c r="E33" s="187">
        <v>39883</v>
      </c>
      <c r="F33" s="187">
        <v>31113</v>
      </c>
      <c r="G33" s="187">
        <v>23683</v>
      </c>
      <c r="H33" s="186" t="s">
        <v>67</v>
      </c>
      <c r="I33" s="186" t="s">
        <v>40</v>
      </c>
      <c r="J33" s="13">
        <f ca="1">ROUNDDOWN(YEARFRAC(EmployeeTable[[#This Row],[Hire Date]], TODAY(), 1), 0)</f>
        <v>11</v>
      </c>
      <c r="K33" s="13">
        <f ca="1">ROUNDDOWN(YEARFRAC(EmployeeTable[[#This Row],[Start Date in Role]], TODAY(), 1), 0)</f>
        <v>35</v>
      </c>
      <c r="L33" s="1">
        <f ca="1">ROUNDDOWN(YEARFRAC(EmployeeTable[[#This Row],[DOB]], TODAY(), 1), 0)</f>
        <v>55</v>
      </c>
      <c r="M33" s="1">
        <f ca="1">IF(EmployeeTable[[#This Row],[Age]]&gt;54,1,0)</f>
        <v>1</v>
      </c>
      <c r="N33" s="1">
        <f>VLOOKUP(EmployeeTable[[#This Row],[Role]],'3. Setup &amp; Role Data'!$G$9:$I$109,2,FALSE)</f>
        <v>60000</v>
      </c>
      <c r="O33" s="1" t="str">
        <f ca="1">IF(EmployeeTable[[#This Row],[Tenure]]&lt;2,"1 Year or Less",IF(EmployeeTable[[#This Row],[Tenure]]&lt;=5,"2-5 Years",IF(EmployeeTable[[#This Row],[Tenure]]&lt;10,"6-10 Years","10+ Years")))</f>
        <v>10+ Years</v>
      </c>
      <c r="P33" s="1" t="str">
        <f ca="1">IF(EmployeeTable[[#This Row],[Role Tenure]]&lt;2,"1 Year or Less",IF(EmployeeTable[[#This Row],[Role Tenure]]&lt;=5,"2-5 Years",IF(EmployeeTable[[#This Row],[Role Tenure]]&lt;10,"6-10 Years","10+ Years")))</f>
        <v>10+ Years</v>
      </c>
      <c r="Q3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34" spans="2:17" x14ac:dyDescent="0.2">
      <c r="B34" s="186">
        <v>3664</v>
      </c>
      <c r="C34" s="186" t="s">
        <v>36</v>
      </c>
      <c r="D34" s="186" t="s">
        <v>44</v>
      </c>
      <c r="E34" s="187">
        <v>18888</v>
      </c>
      <c r="F34" s="187">
        <v>26726</v>
      </c>
      <c r="G34" s="187">
        <v>23616</v>
      </c>
      <c r="H34" s="186" t="s">
        <v>68</v>
      </c>
      <c r="I34" s="186" t="s">
        <v>37</v>
      </c>
      <c r="J34" s="13">
        <f ca="1">ROUNDDOWN(YEARFRAC(EmployeeTable[[#This Row],[Hire Date]], TODAY(), 1), 0)</f>
        <v>68</v>
      </c>
      <c r="K34" s="13">
        <f ca="1">ROUNDDOWN(YEARFRAC(EmployeeTable[[#This Row],[Start Date in Role]], TODAY(), 1), 0)</f>
        <v>47</v>
      </c>
      <c r="L34" s="1">
        <f ca="1">ROUNDDOWN(YEARFRAC(EmployeeTable[[#This Row],[DOB]], TODAY(), 1), 0)</f>
        <v>55</v>
      </c>
      <c r="M34" s="1">
        <f ca="1">IF(EmployeeTable[[#This Row],[Age]]&gt;54,1,0)</f>
        <v>1</v>
      </c>
      <c r="N34" s="1">
        <f>VLOOKUP(EmployeeTable[[#This Row],[Role]],'3. Setup &amp; Role Data'!$G$9:$I$109,2,FALSE)</f>
        <v>60000</v>
      </c>
      <c r="O34" s="1" t="str">
        <f ca="1">IF(EmployeeTable[[#This Row],[Tenure]]&lt;2,"1 Year or Less",IF(EmployeeTable[[#This Row],[Tenure]]&lt;=5,"2-5 Years",IF(EmployeeTable[[#This Row],[Tenure]]&lt;10,"6-10 Years","10+ Years")))</f>
        <v>10+ Years</v>
      </c>
      <c r="P34" s="1" t="str">
        <f ca="1">IF(EmployeeTable[[#This Row],[Role Tenure]]&lt;2,"1 Year or Less",IF(EmployeeTable[[#This Row],[Role Tenure]]&lt;=5,"2-5 Years",IF(EmployeeTable[[#This Row],[Role Tenure]]&lt;10,"6-10 Years","10+ Years")))</f>
        <v>10+ Years</v>
      </c>
      <c r="Q3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35" spans="2:17" x14ac:dyDescent="0.2">
      <c r="B35" s="186">
        <v>2750</v>
      </c>
      <c r="C35" s="186" t="s">
        <v>36</v>
      </c>
      <c r="D35" s="186" t="s">
        <v>44</v>
      </c>
      <c r="E35" s="187">
        <v>37760</v>
      </c>
      <c r="F35" s="187">
        <v>41162</v>
      </c>
      <c r="G35" s="187">
        <v>34567</v>
      </c>
      <c r="H35" s="186" t="s">
        <v>67</v>
      </c>
      <c r="I35" s="186" t="s">
        <v>40</v>
      </c>
      <c r="J35" s="13">
        <f ca="1">ROUNDDOWN(YEARFRAC(EmployeeTable[[#This Row],[Hire Date]], TODAY(), 1), 0)</f>
        <v>16</v>
      </c>
      <c r="K35" s="13">
        <f ca="1">ROUNDDOWN(YEARFRAC(EmployeeTable[[#This Row],[Start Date in Role]], TODAY(), 1), 0)</f>
        <v>7</v>
      </c>
      <c r="L35" s="1">
        <f ca="1">ROUNDDOWN(YEARFRAC(EmployeeTable[[#This Row],[DOB]], TODAY(), 1), 0)</f>
        <v>25</v>
      </c>
      <c r="M35" s="1">
        <f ca="1">IF(EmployeeTable[[#This Row],[Age]]&gt;54,1,0)</f>
        <v>0</v>
      </c>
      <c r="N35" s="1">
        <f>VLOOKUP(EmployeeTable[[#This Row],[Role]],'3. Setup &amp; Role Data'!$G$9:$I$109,2,FALSE)</f>
        <v>60000</v>
      </c>
      <c r="O35" s="1" t="str">
        <f ca="1">IF(EmployeeTable[[#This Row],[Tenure]]&lt;2,"1 Year or Less",IF(EmployeeTable[[#This Row],[Tenure]]&lt;=5,"2-5 Years",IF(EmployeeTable[[#This Row],[Tenure]]&lt;10,"6-10 Years","10+ Years")))</f>
        <v>10+ Years</v>
      </c>
      <c r="P35" s="1" t="str">
        <f ca="1">IF(EmployeeTable[[#This Row],[Role Tenure]]&lt;2,"1 Year or Less",IF(EmployeeTable[[#This Row],[Role Tenure]]&lt;=5,"2-5 Years",IF(EmployeeTable[[#This Row],[Role Tenure]]&lt;10,"6-10 Years","10+ Years")))</f>
        <v>6-10 Years</v>
      </c>
      <c r="Q3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36" spans="2:17" x14ac:dyDescent="0.2">
      <c r="B36" s="186">
        <v>6557</v>
      </c>
      <c r="C36" s="186" t="s">
        <v>36</v>
      </c>
      <c r="D36" s="186" t="s">
        <v>44</v>
      </c>
      <c r="E36" s="187">
        <v>36692</v>
      </c>
      <c r="F36" s="187">
        <v>26760</v>
      </c>
      <c r="G36" s="187">
        <v>25461</v>
      </c>
      <c r="H36" s="186" t="s">
        <v>67</v>
      </c>
      <c r="I36" s="186" t="s">
        <v>40</v>
      </c>
      <c r="J36" s="13">
        <f ca="1">ROUNDDOWN(YEARFRAC(EmployeeTable[[#This Row],[Hire Date]], TODAY(), 1), 0)</f>
        <v>19</v>
      </c>
      <c r="K36" s="13">
        <f ca="1">ROUNDDOWN(YEARFRAC(EmployeeTable[[#This Row],[Start Date in Role]], TODAY(), 1), 0)</f>
        <v>46</v>
      </c>
      <c r="L36" s="1">
        <f ca="1">ROUNDDOWN(YEARFRAC(EmployeeTable[[#This Row],[DOB]], TODAY(), 1), 0)</f>
        <v>50</v>
      </c>
      <c r="M36" s="1">
        <f ca="1">IF(EmployeeTable[[#This Row],[Age]]&gt;54,1,0)</f>
        <v>0</v>
      </c>
      <c r="N36" s="1">
        <f>VLOOKUP(EmployeeTable[[#This Row],[Role]],'3. Setup &amp; Role Data'!$G$9:$I$109,2,FALSE)</f>
        <v>60000</v>
      </c>
      <c r="O36" s="1" t="str">
        <f ca="1">IF(EmployeeTable[[#This Row],[Tenure]]&lt;2,"1 Year or Less",IF(EmployeeTable[[#This Row],[Tenure]]&lt;=5,"2-5 Years",IF(EmployeeTable[[#This Row],[Tenure]]&lt;10,"6-10 Years","10+ Years")))</f>
        <v>10+ Years</v>
      </c>
      <c r="P36" s="1" t="str">
        <f ca="1">IF(EmployeeTable[[#This Row],[Role Tenure]]&lt;2,"1 Year or Less",IF(EmployeeTable[[#This Row],[Role Tenure]]&lt;=5,"2-5 Years",IF(EmployeeTable[[#This Row],[Role Tenure]]&lt;10,"6-10 Years","10+ Years")))</f>
        <v>10+ Years</v>
      </c>
      <c r="Q3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37" spans="2:17" x14ac:dyDescent="0.2">
      <c r="B37" s="186">
        <v>2023</v>
      </c>
      <c r="C37" s="186" t="s">
        <v>36</v>
      </c>
      <c r="D37" s="186" t="s">
        <v>44</v>
      </c>
      <c r="E37" s="187">
        <v>38949</v>
      </c>
      <c r="F37" s="187">
        <v>35053</v>
      </c>
      <c r="G37" s="187">
        <v>20676</v>
      </c>
      <c r="H37" s="186" t="s">
        <v>68</v>
      </c>
      <c r="I37" s="186" t="s">
        <v>40</v>
      </c>
      <c r="J37" s="13">
        <f ca="1">ROUNDDOWN(YEARFRAC(EmployeeTable[[#This Row],[Hire Date]], TODAY(), 1), 0)</f>
        <v>13</v>
      </c>
      <c r="K37" s="13">
        <f ca="1">ROUNDDOWN(YEARFRAC(EmployeeTable[[#This Row],[Start Date in Role]], TODAY(), 1), 0)</f>
        <v>24</v>
      </c>
      <c r="L37" s="1">
        <f ca="1">ROUNDDOWN(YEARFRAC(EmployeeTable[[#This Row],[DOB]], TODAY(), 1), 0)</f>
        <v>63</v>
      </c>
      <c r="M37" s="1">
        <f ca="1">IF(EmployeeTable[[#This Row],[Age]]&gt;54,1,0)</f>
        <v>1</v>
      </c>
      <c r="N37" s="1">
        <f>VLOOKUP(EmployeeTable[[#This Row],[Role]],'3. Setup &amp; Role Data'!$G$9:$I$109,2,FALSE)</f>
        <v>60000</v>
      </c>
      <c r="O37" s="1" t="str">
        <f ca="1">IF(EmployeeTable[[#This Row],[Tenure]]&lt;2,"1 Year or Less",IF(EmployeeTable[[#This Row],[Tenure]]&lt;=5,"2-5 Years",IF(EmployeeTable[[#This Row],[Tenure]]&lt;10,"6-10 Years","10+ Years")))</f>
        <v>10+ Years</v>
      </c>
      <c r="P37" s="1" t="str">
        <f ca="1">IF(EmployeeTable[[#This Row],[Role Tenure]]&lt;2,"1 Year or Less",IF(EmployeeTable[[#This Row],[Role Tenure]]&lt;=5,"2-5 Years",IF(EmployeeTable[[#This Row],[Role Tenure]]&lt;10,"6-10 Years","10+ Years")))</f>
        <v>10+ Years</v>
      </c>
      <c r="Q3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38" spans="2:17" x14ac:dyDescent="0.2">
      <c r="B38" s="186">
        <v>9377</v>
      </c>
      <c r="C38" s="186" t="s">
        <v>36</v>
      </c>
      <c r="D38" s="186" t="s">
        <v>44</v>
      </c>
      <c r="E38" s="187">
        <v>21638</v>
      </c>
      <c r="F38" s="187">
        <v>42269</v>
      </c>
      <c r="G38" s="187">
        <v>23601</v>
      </c>
      <c r="H38" s="186" t="s">
        <v>67</v>
      </c>
      <c r="I38" s="186" t="s">
        <v>40</v>
      </c>
      <c r="J38" s="13">
        <f ca="1">ROUNDDOWN(YEARFRAC(EmployeeTable[[#This Row],[Hire Date]], TODAY(), 1), 0)</f>
        <v>60</v>
      </c>
      <c r="K38" s="13">
        <f ca="1">ROUNDDOWN(YEARFRAC(EmployeeTable[[#This Row],[Start Date in Role]], TODAY(), 1), 0)</f>
        <v>4</v>
      </c>
      <c r="L38" s="1">
        <f ca="1">ROUNDDOWN(YEARFRAC(EmployeeTable[[#This Row],[DOB]], TODAY(), 1), 0)</f>
        <v>55</v>
      </c>
      <c r="M38" s="1">
        <f ca="1">IF(EmployeeTable[[#This Row],[Age]]&gt;54,1,0)</f>
        <v>1</v>
      </c>
      <c r="N38" s="1">
        <f>VLOOKUP(EmployeeTable[[#This Row],[Role]],'3. Setup &amp; Role Data'!$G$9:$I$109,2,FALSE)</f>
        <v>60000</v>
      </c>
      <c r="O38" s="1" t="str">
        <f ca="1">IF(EmployeeTable[[#This Row],[Tenure]]&lt;2,"1 Year or Less",IF(EmployeeTable[[#This Row],[Tenure]]&lt;=5,"2-5 Years",IF(EmployeeTable[[#This Row],[Tenure]]&lt;10,"6-10 Years","10+ Years")))</f>
        <v>10+ Years</v>
      </c>
      <c r="P38" s="1" t="str">
        <f ca="1">IF(EmployeeTable[[#This Row],[Role Tenure]]&lt;2,"1 Year or Less",IF(EmployeeTable[[#This Row],[Role Tenure]]&lt;=5,"2-5 Years",IF(EmployeeTable[[#This Row],[Role Tenure]]&lt;10,"6-10 Years","10+ Years")))</f>
        <v>2-5 Years</v>
      </c>
      <c r="Q3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39" spans="2:17" x14ac:dyDescent="0.2">
      <c r="B39" s="186">
        <v>6158</v>
      </c>
      <c r="C39" s="186" t="s">
        <v>42</v>
      </c>
      <c r="D39" s="186" t="s">
        <v>49</v>
      </c>
      <c r="E39" s="187">
        <v>30811</v>
      </c>
      <c r="F39" s="187">
        <v>36753</v>
      </c>
      <c r="G39" s="187">
        <v>24608</v>
      </c>
      <c r="H39" s="186" t="s">
        <v>68</v>
      </c>
      <c r="I39" s="186" t="s">
        <v>40</v>
      </c>
      <c r="J39" s="13">
        <f ca="1">ROUNDDOWN(YEARFRAC(EmployeeTable[[#This Row],[Hire Date]], TODAY(), 1), 0)</f>
        <v>35</v>
      </c>
      <c r="K39" s="13">
        <f ca="1">ROUNDDOWN(YEARFRAC(EmployeeTable[[#This Row],[Start Date in Role]], TODAY(), 1), 0)</f>
        <v>19</v>
      </c>
      <c r="L39" s="1">
        <f ca="1">ROUNDDOWN(YEARFRAC(EmployeeTable[[#This Row],[DOB]], TODAY(), 1), 0)</f>
        <v>52</v>
      </c>
      <c r="M39" s="1">
        <f ca="1">IF(EmployeeTable[[#This Row],[Age]]&gt;54,1,0)</f>
        <v>0</v>
      </c>
      <c r="N39" s="1">
        <f>VLOOKUP(EmployeeTable[[#This Row],[Role]],'3. Setup &amp; Role Data'!$G$9:$I$109,2,FALSE)</f>
        <v>100000</v>
      </c>
      <c r="O39" s="1" t="str">
        <f ca="1">IF(EmployeeTable[[#This Row],[Tenure]]&lt;2,"1 Year or Less",IF(EmployeeTable[[#This Row],[Tenure]]&lt;=5,"2-5 Years",IF(EmployeeTable[[#This Row],[Tenure]]&lt;10,"6-10 Years","10+ Years")))</f>
        <v>10+ Years</v>
      </c>
      <c r="P39" s="1" t="str">
        <f ca="1">IF(EmployeeTable[[#This Row],[Role Tenure]]&lt;2,"1 Year or Less",IF(EmployeeTable[[#This Row],[Role Tenure]]&lt;=5,"2-5 Years",IF(EmployeeTable[[#This Row],[Role Tenure]]&lt;10,"6-10 Years","10+ Years")))</f>
        <v>10+ Years</v>
      </c>
      <c r="Q3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40" spans="2:17" x14ac:dyDescent="0.2">
      <c r="B40" s="186">
        <v>8913</v>
      </c>
      <c r="C40" s="186" t="s">
        <v>42</v>
      </c>
      <c r="D40" s="186" t="s">
        <v>49</v>
      </c>
      <c r="E40" s="187">
        <v>27988</v>
      </c>
      <c r="F40" s="187">
        <v>37515</v>
      </c>
      <c r="G40" s="187">
        <v>27138</v>
      </c>
      <c r="H40" s="186" t="s">
        <v>67</v>
      </c>
      <c r="I40" s="186" t="s">
        <v>40</v>
      </c>
      <c r="J40" s="13">
        <f ca="1">ROUNDDOWN(YEARFRAC(EmployeeTable[[#This Row],[Hire Date]], TODAY(), 1), 0)</f>
        <v>43</v>
      </c>
      <c r="K40" s="13">
        <f ca="1">ROUNDDOWN(YEARFRAC(EmployeeTable[[#This Row],[Start Date in Role]], TODAY(), 1), 0)</f>
        <v>17</v>
      </c>
      <c r="L40" s="1">
        <f ca="1">ROUNDDOWN(YEARFRAC(EmployeeTable[[#This Row],[DOB]], TODAY(), 1), 0)</f>
        <v>45</v>
      </c>
      <c r="M40" s="1">
        <f ca="1">IF(EmployeeTable[[#This Row],[Age]]&gt;54,1,0)</f>
        <v>0</v>
      </c>
      <c r="N40" s="1">
        <f>VLOOKUP(EmployeeTable[[#This Row],[Role]],'3. Setup &amp; Role Data'!$G$9:$I$109,2,FALSE)</f>
        <v>100000</v>
      </c>
      <c r="O40" s="1" t="str">
        <f ca="1">IF(EmployeeTable[[#This Row],[Tenure]]&lt;2,"1 Year or Less",IF(EmployeeTable[[#This Row],[Tenure]]&lt;=5,"2-5 Years",IF(EmployeeTable[[#This Row],[Tenure]]&lt;10,"6-10 Years","10+ Years")))</f>
        <v>10+ Years</v>
      </c>
      <c r="P40" s="1" t="str">
        <f ca="1">IF(EmployeeTable[[#This Row],[Role Tenure]]&lt;2,"1 Year or Less",IF(EmployeeTable[[#This Row],[Role Tenure]]&lt;=5,"2-5 Years",IF(EmployeeTable[[#This Row],[Role Tenure]]&lt;10,"6-10 Years","10+ Years")))</f>
        <v>10+ Years</v>
      </c>
      <c r="Q4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41" spans="2:17" x14ac:dyDescent="0.2">
      <c r="B41" s="186">
        <v>6185</v>
      </c>
      <c r="C41" s="186" t="s">
        <v>42</v>
      </c>
      <c r="D41" s="186" t="s">
        <v>49</v>
      </c>
      <c r="E41" s="187">
        <v>21886</v>
      </c>
      <c r="F41" s="187">
        <v>36541</v>
      </c>
      <c r="G41" s="187">
        <v>32566</v>
      </c>
      <c r="H41" s="186" t="s">
        <v>68</v>
      </c>
      <c r="I41" s="186" t="s">
        <v>40</v>
      </c>
      <c r="J41" s="13">
        <f ca="1">ROUNDDOWN(YEARFRAC(EmployeeTable[[#This Row],[Hire Date]], TODAY(), 1), 0)</f>
        <v>60</v>
      </c>
      <c r="K41" s="13">
        <f ca="1">ROUNDDOWN(YEARFRAC(EmployeeTable[[#This Row],[Start Date in Role]], TODAY(), 1), 0)</f>
        <v>20</v>
      </c>
      <c r="L41" s="1">
        <f ca="1">ROUNDDOWN(YEARFRAC(EmployeeTable[[#This Row],[DOB]], TODAY(), 1), 0)</f>
        <v>31</v>
      </c>
      <c r="M41" s="1">
        <f ca="1">IF(EmployeeTable[[#This Row],[Age]]&gt;54,1,0)</f>
        <v>0</v>
      </c>
      <c r="N41" s="1">
        <f>VLOOKUP(EmployeeTable[[#This Row],[Role]],'3. Setup &amp; Role Data'!$G$9:$I$109,2,FALSE)</f>
        <v>100000</v>
      </c>
      <c r="O41" s="1" t="str">
        <f ca="1">IF(EmployeeTable[[#This Row],[Tenure]]&lt;2,"1 Year or Less",IF(EmployeeTable[[#This Row],[Tenure]]&lt;=5,"2-5 Years",IF(EmployeeTable[[#This Row],[Tenure]]&lt;10,"6-10 Years","10+ Years")))</f>
        <v>10+ Years</v>
      </c>
      <c r="P41" s="1" t="str">
        <f ca="1">IF(EmployeeTable[[#This Row],[Role Tenure]]&lt;2,"1 Year or Less",IF(EmployeeTable[[#This Row],[Role Tenure]]&lt;=5,"2-5 Years",IF(EmployeeTable[[#This Row],[Role Tenure]]&lt;10,"6-10 Years","10+ Years")))</f>
        <v>10+ Years</v>
      </c>
      <c r="Q4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42" spans="2:17" x14ac:dyDescent="0.2">
      <c r="B42" s="186">
        <v>2309</v>
      </c>
      <c r="C42" s="186" t="s">
        <v>42</v>
      </c>
      <c r="D42" s="186" t="s">
        <v>46</v>
      </c>
      <c r="E42" s="187">
        <v>33635</v>
      </c>
      <c r="F42" s="187">
        <v>24845</v>
      </c>
      <c r="G42" s="187">
        <v>21839</v>
      </c>
      <c r="H42" s="186" t="s">
        <v>67</v>
      </c>
      <c r="I42" s="186" t="s">
        <v>40</v>
      </c>
      <c r="J42" s="13">
        <f ca="1">ROUNDDOWN(YEARFRAC(EmployeeTable[[#This Row],[Hire Date]], TODAY(), 1), 0)</f>
        <v>28</v>
      </c>
      <c r="K42" s="13">
        <f ca="1">ROUNDDOWN(YEARFRAC(EmployeeTable[[#This Row],[Start Date in Role]], TODAY(), 1), 0)</f>
        <v>52</v>
      </c>
      <c r="L42" s="1">
        <f ca="1">ROUNDDOWN(YEARFRAC(EmployeeTable[[#This Row],[DOB]], TODAY(), 1), 0)</f>
        <v>60</v>
      </c>
      <c r="M42" s="1">
        <f ca="1">IF(EmployeeTable[[#This Row],[Age]]&gt;54,1,0)</f>
        <v>1</v>
      </c>
      <c r="N42" s="1">
        <f>VLOOKUP(EmployeeTable[[#This Row],[Role]],'3. Setup &amp; Role Data'!$G$9:$I$109,2,FALSE)</f>
        <v>120000</v>
      </c>
      <c r="O42" s="1" t="str">
        <f ca="1">IF(EmployeeTable[[#This Row],[Tenure]]&lt;2,"1 Year or Less",IF(EmployeeTable[[#This Row],[Tenure]]&lt;=5,"2-5 Years",IF(EmployeeTable[[#This Row],[Tenure]]&lt;10,"6-10 Years","10+ Years")))</f>
        <v>10+ Years</v>
      </c>
      <c r="P42" s="1" t="str">
        <f ca="1">IF(EmployeeTable[[#This Row],[Role Tenure]]&lt;2,"1 Year or Less",IF(EmployeeTable[[#This Row],[Role Tenure]]&lt;=5,"2-5 Years",IF(EmployeeTable[[#This Row],[Role Tenure]]&lt;10,"6-10 Years","10+ Years")))</f>
        <v>10+ Years</v>
      </c>
      <c r="Q4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43" spans="2:17" x14ac:dyDescent="0.2">
      <c r="B43" s="186">
        <v>7070</v>
      </c>
      <c r="C43" s="186" t="s">
        <v>42</v>
      </c>
      <c r="D43" s="186" t="s">
        <v>38</v>
      </c>
      <c r="E43" s="187">
        <v>31702</v>
      </c>
      <c r="F43" s="187">
        <v>25394</v>
      </c>
      <c r="G43" s="187">
        <v>20095</v>
      </c>
      <c r="H43" s="186" t="s">
        <v>67</v>
      </c>
      <c r="I43" s="186" t="s">
        <v>40</v>
      </c>
      <c r="J43" s="13">
        <f ca="1">ROUNDDOWN(YEARFRAC(EmployeeTable[[#This Row],[Hire Date]], TODAY(), 1), 0)</f>
        <v>33</v>
      </c>
      <c r="K43" s="13">
        <f ca="1">ROUNDDOWN(YEARFRAC(EmployeeTable[[#This Row],[Start Date in Role]], TODAY(), 1), 0)</f>
        <v>50</v>
      </c>
      <c r="L43" s="1">
        <f ca="1">ROUNDDOWN(YEARFRAC(EmployeeTable[[#This Row],[DOB]], TODAY(), 1), 0)</f>
        <v>65</v>
      </c>
      <c r="M43" s="1">
        <f ca="1">IF(EmployeeTable[[#This Row],[Age]]&gt;54,1,0)</f>
        <v>1</v>
      </c>
      <c r="N43" s="1">
        <f>VLOOKUP(EmployeeTable[[#This Row],[Role]],'3. Setup &amp; Role Data'!$G$9:$I$109,2,FALSE)</f>
        <v>80000</v>
      </c>
      <c r="O43" s="1" t="str">
        <f ca="1">IF(EmployeeTable[[#This Row],[Tenure]]&lt;2,"1 Year or Less",IF(EmployeeTable[[#This Row],[Tenure]]&lt;=5,"2-5 Years",IF(EmployeeTable[[#This Row],[Tenure]]&lt;10,"6-10 Years","10+ Years")))</f>
        <v>10+ Years</v>
      </c>
      <c r="P43" s="1" t="str">
        <f ca="1">IF(EmployeeTable[[#This Row],[Role Tenure]]&lt;2,"1 Year or Less",IF(EmployeeTable[[#This Row],[Role Tenure]]&lt;=5,"2-5 Years",IF(EmployeeTable[[#This Row],[Role Tenure]]&lt;10,"6-10 Years","10+ Years")))</f>
        <v>10+ Years</v>
      </c>
      <c r="Q4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44" spans="2:17" x14ac:dyDescent="0.2">
      <c r="B44" s="186">
        <v>2382</v>
      </c>
      <c r="C44" s="186" t="s">
        <v>42</v>
      </c>
      <c r="D44" s="186" t="s">
        <v>38</v>
      </c>
      <c r="E44" s="187">
        <v>32895</v>
      </c>
      <c r="F44" s="187">
        <v>29835</v>
      </c>
      <c r="G44" s="187">
        <v>28627</v>
      </c>
      <c r="H44" s="186" t="s">
        <v>68</v>
      </c>
      <c r="I44" s="186" t="s">
        <v>37</v>
      </c>
      <c r="J44" s="13">
        <f ca="1">ROUNDDOWN(YEARFRAC(EmployeeTable[[#This Row],[Hire Date]], TODAY(), 1), 0)</f>
        <v>30</v>
      </c>
      <c r="K44" s="13">
        <f ca="1">ROUNDDOWN(YEARFRAC(EmployeeTable[[#This Row],[Start Date in Role]], TODAY(), 1), 0)</f>
        <v>38</v>
      </c>
      <c r="L44" s="1">
        <f ca="1">ROUNDDOWN(YEARFRAC(EmployeeTable[[#This Row],[DOB]], TODAY(), 1), 0)</f>
        <v>41</v>
      </c>
      <c r="M44" s="1">
        <f ca="1">IF(EmployeeTable[[#This Row],[Age]]&gt;54,1,0)</f>
        <v>0</v>
      </c>
      <c r="N44" s="1">
        <f>VLOOKUP(EmployeeTable[[#This Row],[Role]],'3. Setup &amp; Role Data'!$G$9:$I$109,2,FALSE)</f>
        <v>80000</v>
      </c>
      <c r="O44" s="1" t="str">
        <f ca="1">IF(EmployeeTable[[#This Row],[Tenure]]&lt;2,"1 Year or Less",IF(EmployeeTable[[#This Row],[Tenure]]&lt;=5,"2-5 Years",IF(EmployeeTable[[#This Row],[Tenure]]&lt;10,"6-10 Years","10+ Years")))</f>
        <v>10+ Years</v>
      </c>
      <c r="P44" s="1" t="str">
        <f ca="1">IF(EmployeeTable[[#This Row],[Role Tenure]]&lt;2,"1 Year or Less",IF(EmployeeTable[[#This Row],[Role Tenure]]&lt;=5,"2-5 Years",IF(EmployeeTable[[#This Row],[Role Tenure]]&lt;10,"6-10 Years","10+ Years")))</f>
        <v>10+ Years</v>
      </c>
      <c r="Q4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45" spans="2:17" x14ac:dyDescent="0.2">
      <c r="B45" s="186">
        <v>4477</v>
      </c>
      <c r="C45" s="186" t="s">
        <v>42</v>
      </c>
      <c r="D45" s="186" t="s">
        <v>38</v>
      </c>
      <c r="E45" s="187">
        <v>29538</v>
      </c>
      <c r="F45" s="187">
        <v>31140</v>
      </c>
      <c r="G45" s="187">
        <v>32263</v>
      </c>
      <c r="H45" s="186" t="s">
        <v>67</v>
      </c>
      <c r="I45" s="186" t="s">
        <v>37</v>
      </c>
      <c r="J45" s="13">
        <f ca="1">ROUNDDOWN(YEARFRAC(EmployeeTable[[#This Row],[Hire Date]], TODAY(), 1), 0)</f>
        <v>39</v>
      </c>
      <c r="K45" s="13">
        <f ca="1">ROUNDDOWN(YEARFRAC(EmployeeTable[[#This Row],[Start Date in Role]], TODAY(), 1), 0)</f>
        <v>34</v>
      </c>
      <c r="L45" s="1">
        <f ca="1">ROUNDDOWN(YEARFRAC(EmployeeTable[[#This Row],[DOB]], TODAY(), 1), 0)</f>
        <v>31</v>
      </c>
      <c r="M45" s="1">
        <f ca="1">IF(EmployeeTable[[#This Row],[Age]]&gt;54,1,0)</f>
        <v>0</v>
      </c>
      <c r="N45" s="1">
        <f>VLOOKUP(EmployeeTable[[#This Row],[Role]],'3. Setup &amp; Role Data'!$G$9:$I$109,2,FALSE)</f>
        <v>80000</v>
      </c>
      <c r="O45" s="1" t="str">
        <f ca="1">IF(EmployeeTable[[#This Row],[Tenure]]&lt;2,"1 Year or Less",IF(EmployeeTable[[#This Row],[Tenure]]&lt;=5,"2-5 Years",IF(EmployeeTable[[#This Row],[Tenure]]&lt;10,"6-10 Years","10+ Years")))</f>
        <v>10+ Years</v>
      </c>
      <c r="P45" s="1" t="str">
        <f ca="1">IF(EmployeeTable[[#This Row],[Role Tenure]]&lt;2,"1 Year or Less",IF(EmployeeTable[[#This Row],[Role Tenure]]&lt;=5,"2-5 Years",IF(EmployeeTable[[#This Row],[Role Tenure]]&lt;10,"6-10 Years","10+ Years")))</f>
        <v>10+ Years</v>
      </c>
      <c r="Q4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46" spans="2:17" x14ac:dyDescent="0.2">
      <c r="B46" s="186">
        <v>1476</v>
      </c>
      <c r="C46" s="186" t="s">
        <v>42</v>
      </c>
      <c r="D46" s="186" t="s">
        <v>38</v>
      </c>
      <c r="E46" s="187">
        <v>22416</v>
      </c>
      <c r="F46" s="187">
        <v>34989</v>
      </c>
      <c r="G46" s="187">
        <v>25153</v>
      </c>
      <c r="H46" s="186" t="s">
        <v>67</v>
      </c>
      <c r="I46" s="186" t="s">
        <v>37</v>
      </c>
      <c r="J46" s="13">
        <f ca="1">ROUNDDOWN(YEARFRAC(EmployeeTable[[#This Row],[Hire Date]], TODAY(), 1), 0)</f>
        <v>58</v>
      </c>
      <c r="K46" s="13">
        <f ca="1">ROUNDDOWN(YEARFRAC(EmployeeTable[[#This Row],[Start Date in Role]], TODAY(), 1), 0)</f>
        <v>24</v>
      </c>
      <c r="L46" s="1">
        <f ca="1">ROUNDDOWN(YEARFRAC(EmployeeTable[[#This Row],[DOB]], TODAY(), 1), 0)</f>
        <v>51</v>
      </c>
      <c r="M46" s="1">
        <f ca="1">IF(EmployeeTable[[#This Row],[Age]]&gt;54,1,0)</f>
        <v>0</v>
      </c>
      <c r="N46" s="1">
        <f>VLOOKUP(EmployeeTable[[#This Row],[Role]],'3. Setup &amp; Role Data'!$G$9:$I$109,2,FALSE)</f>
        <v>80000</v>
      </c>
      <c r="O46" s="1" t="str">
        <f ca="1">IF(EmployeeTable[[#This Row],[Tenure]]&lt;2,"1 Year or Less",IF(EmployeeTable[[#This Row],[Tenure]]&lt;=5,"2-5 Years",IF(EmployeeTable[[#This Row],[Tenure]]&lt;10,"6-10 Years","10+ Years")))</f>
        <v>10+ Years</v>
      </c>
      <c r="P46" s="1" t="str">
        <f ca="1">IF(EmployeeTable[[#This Row],[Role Tenure]]&lt;2,"1 Year or Less",IF(EmployeeTable[[#This Row],[Role Tenure]]&lt;=5,"2-5 Years",IF(EmployeeTable[[#This Row],[Role Tenure]]&lt;10,"6-10 Years","10+ Years")))</f>
        <v>10+ Years</v>
      </c>
      <c r="Q4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47" spans="2:17" x14ac:dyDescent="0.2">
      <c r="B47" s="186">
        <v>6160</v>
      </c>
      <c r="C47" s="186" t="s">
        <v>36</v>
      </c>
      <c r="D47" s="186" t="s">
        <v>27</v>
      </c>
      <c r="E47" s="187">
        <v>27094</v>
      </c>
      <c r="F47" s="187">
        <v>33571</v>
      </c>
      <c r="G47" s="187">
        <v>34350</v>
      </c>
      <c r="H47" s="186" t="s">
        <v>68</v>
      </c>
      <c r="I47" s="186" t="s">
        <v>37</v>
      </c>
      <c r="J47" s="13">
        <f ca="1">ROUNDDOWN(YEARFRAC(EmployeeTable[[#This Row],[Hire Date]], TODAY(), 1), 0)</f>
        <v>46</v>
      </c>
      <c r="K47" s="13">
        <f ca="1">ROUNDDOWN(YEARFRAC(EmployeeTable[[#This Row],[Start Date in Role]], TODAY(), 1), 0)</f>
        <v>28</v>
      </c>
      <c r="L47" s="1">
        <f ca="1">ROUNDDOWN(YEARFRAC(EmployeeTable[[#This Row],[DOB]], TODAY(), 1), 0)</f>
        <v>26</v>
      </c>
      <c r="M47" s="1">
        <f ca="1">IF(EmployeeTable[[#This Row],[Age]]&gt;54,1,0)</f>
        <v>0</v>
      </c>
      <c r="N47" s="1">
        <f>VLOOKUP(EmployeeTable[[#This Row],[Role]],'3. Setup &amp; Role Data'!$G$9:$I$109,2,FALSE)</f>
        <v>65000</v>
      </c>
      <c r="O47" s="1" t="str">
        <f ca="1">IF(EmployeeTable[[#This Row],[Tenure]]&lt;2,"1 Year or Less",IF(EmployeeTable[[#This Row],[Tenure]]&lt;=5,"2-5 Years",IF(EmployeeTable[[#This Row],[Tenure]]&lt;10,"6-10 Years","10+ Years")))</f>
        <v>10+ Years</v>
      </c>
      <c r="P47" s="1" t="str">
        <f ca="1">IF(EmployeeTable[[#This Row],[Role Tenure]]&lt;2,"1 Year or Less",IF(EmployeeTable[[#This Row],[Role Tenure]]&lt;=5,"2-5 Years",IF(EmployeeTable[[#This Row],[Role Tenure]]&lt;10,"6-10 Years","10+ Years")))</f>
        <v>10+ Years</v>
      </c>
      <c r="Q4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48" spans="2:17" x14ac:dyDescent="0.2">
      <c r="B48" s="186">
        <v>3694</v>
      </c>
      <c r="C48" s="186" t="s">
        <v>36</v>
      </c>
      <c r="D48" s="186" t="s">
        <v>27</v>
      </c>
      <c r="E48" s="187">
        <v>39422</v>
      </c>
      <c r="F48" s="187">
        <v>42126</v>
      </c>
      <c r="G48" s="187">
        <v>28600</v>
      </c>
      <c r="H48" s="186" t="s">
        <v>67</v>
      </c>
      <c r="I48" s="186" t="s">
        <v>37</v>
      </c>
      <c r="J48" s="13">
        <f ca="1">ROUNDDOWN(YEARFRAC(EmployeeTable[[#This Row],[Hire Date]], TODAY(), 1), 0)</f>
        <v>12</v>
      </c>
      <c r="K48" s="13">
        <f ca="1">ROUNDDOWN(YEARFRAC(EmployeeTable[[#This Row],[Start Date in Role]], TODAY(), 1), 0)</f>
        <v>4</v>
      </c>
      <c r="L48" s="1">
        <f ca="1">ROUNDDOWN(YEARFRAC(EmployeeTable[[#This Row],[DOB]], TODAY(), 1), 0)</f>
        <v>41</v>
      </c>
      <c r="M48" s="1">
        <f ca="1">IF(EmployeeTable[[#This Row],[Age]]&gt;54,1,0)</f>
        <v>0</v>
      </c>
      <c r="N48" s="1">
        <f>VLOOKUP(EmployeeTable[[#This Row],[Role]],'3. Setup &amp; Role Data'!$G$9:$I$109,2,FALSE)</f>
        <v>65000</v>
      </c>
      <c r="O48" s="1" t="str">
        <f ca="1">IF(EmployeeTable[[#This Row],[Tenure]]&lt;2,"1 Year or Less",IF(EmployeeTable[[#This Row],[Tenure]]&lt;=5,"2-5 Years",IF(EmployeeTable[[#This Row],[Tenure]]&lt;10,"6-10 Years","10+ Years")))</f>
        <v>10+ Years</v>
      </c>
      <c r="P48" s="1" t="str">
        <f ca="1">IF(EmployeeTable[[#This Row],[Role Tenure]]&lt;2,"1 Year or Less",IF(EmployeeTable[[#This Row],[Role Tenure]]&lt;=5,"2-5 Years",IF(EmployeeTable[[#This Row],[Role Tenure]]&lt;10,"6-10 Years","10+ Years")))</f>
        <v>2-5 Years</v>
      </c>
      <c r="Q4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49" spans="2:17" x14ac:dyDescent="0.2">
      <c r="B49" s="186">
        <v>3646</v>
      </c>
      <c r="C49" s="186" t="s">
        <v>36</v>
      </c>
      <c r="D49" s="186" t="s">
        <v>44</v>
      </c>
      <c r="E49" s="187">
        <v>25811</v>
      </c>
      <c r="F49" s="187">
        <v>26333</v>
      </c>
      <c r="G49" s="187">
        <v>25805</v>
      </c>
      <c r="H49" s="186" t="s">
        <v>67</v>
      </c>
      <c r="I49" s="186" t="s">
        <v>37</v>
      </c>
      <c r="J49" s="13">
        <f ca="1">ROUNDDOWN(YEARFRAC(EmployeeTable[[#This Row],[Hire Date]], TODAY(), 1), 0)</f>
        <v>49</v>
      </c>
      <c r="K49" s="13">
        <f ca="1">ROUNDDOWN(YEARFRAC(EmployeeTable[[#This Row],[Start Date in Role]], TODAY(), 1), 0)</f>
        <v>48</v>
      </c>
      <c r="L49" s="1">
        <f ca="1">ROUNDDOWN(YEARFRAC(EmployeeTable[[#This Row],[DOB]], TODAY(), 1), 0)</f>
        <v>49</v>
      </c>
      <c r="M49" s="1">
        <f ca="1">IF(EmployeeTable[[#This Row],[Age]]&gt;54,1,0)</f>
        <v>0</v>
      </c>
      <c r="N49" s="1">
        <f>VLOOKUP(EmployeeTable[[#This Row],[Role]],'3. Setup &amp; Role Data'!$G$9:$I$109,2,FALSE)</f>
        <v>60000</v>
      </c>
      <c r="O49" s="1" t="str">
        <f ca="1">IF(EmployeeTable[[#This Row],[Tenure]]&lt;2,"1 Year or Less",IF(EmployeeTable[[#This Row],[Tenure]]&lt;=5,"2-5 Years",IF(EmployeeTable[[#This Row],[Tenure]]&lt;10,"6-10 Years","10+ Years")))</f>
        <v>10+ Years</v>
      </c>
      <c r="P49" s="1" t="str">
        <f ca="1">IF(EmployeeTable[[#This Row],[Role Tenure]]&lt;2,"1 Year or Less",IF(EmployeeTable[[#This Row],[Role Tenure]]&lt;=5,"2-5 Years",IF(EmployeeTable[[#This Row],[Role Tenure]]&lt;10,"6-10 Years","10+ Years")))</f>
        <v>10+ Years</v>
      </c>
      <c r="Q4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50" spans="2:17" x14ac:dyDescent="0.2">
      <c r="B50" s="186">
        <v>1407</v>
      </c>
      <c r="C50" s="186" t="s">
        <v>36</v>
      </c>
      <c r="D50" s="186" t="s">
        <v>48</v>
      </c>
      <c r="E50" s="187">
        <v>32334</v>
      </c>
      <c r="F50" s="187">
        <v>41932</v>
      </c>
      <c r="G50" s="187">
        <v>27771</v>
      </c>
      <c r="H50" s="186" t="s">
        <v>68</v>
      </c>
      <c r="I50" s="186" t="s">
        <v>37</v>
      </c>
      <c r="J50" s="13">
        <f ca="1">ROUNDDOWN(YEARFRAC(EmployeeTable[[#This Row],[Hire Date]], TODAY(), 1), 0)</f>
        <v>31</v>
      </c>
      <c r="K50" s="13">
        <f ca="1">ROUNDDOWN(YEARFRAC(EmployeeTable[[#This Row],[Start Date in Role]], TODAY(), 1), 0)</f>
        <v>5</v>
      </c>
      <c r="L50" s="1">
        <f ca="1">ROUNDDOWN(YEARFRAC(EmployeeTable[[#This Row],[DOB]], TODAY(), 1), 0)</f>
        <v>44</v>
      </c>
      <c r="M50" s="1">
        <f ca="1">IF(EmployeeTable[[#This Row],[Age]]&gt;54,1,0)</f>
        <v>0</v>
      </c>
      <c r="N50" s="1">
        <f>VLOOKUP(EmployeeTable[[#This Row],[Role]],'3. Setup &amp; Role Data'!$G$9:$I$109,2,FALSE)</f>
        <v>150000</v>
      </c>
      <c r="O50" s="1" t="str">
        <f ca="1">IF(EmployeeTable[[#This Row],[Tenure]]&lt;2,"1 Year or Less",IF(EmployeeTable[[#This Row],[Tenure]]&lt;=5,"2-5 Years",IF(EmployeeTable[[#This Row],[Tenure]]&lt;10,"6-10 Years","10+ Years")))</f>
        <v>10+ Years</v>
      </c>
      <c r="P50" s="1" t="str">
        <f ca="1">IF(EmployeeTable[[#This Row],[Role Tenure]]&lt;2,"1 Year or Less",IF(EmployeeTable[[#This Row],[Role Tenure]]&lt;=5,"2-5 Years",IF(EmployeeTable[[#This Row],[Role Tenure]]&lt;10,"6-10 Years","10+ Years")))</f>
        <v>2-5 Years</v>
      </c>
      <c r="Q5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51" spans="2:17" x14ac:dyDescent="0.2">
      <c r="B51" s="186">
        <v>5137</v>
      </c>
      <c r="C51" s="186" t="s">
        <v>36</v>
      </c>
      <c r="D51" s="186" t="s">
        <v>27</v>
      </c>
      <c r="E51" s="187">
        <v>32912</v>
      </c>
      <c r="F51" s="187">
        <v>35632</v>
      </c>
      <c r="G51" s="187">
        <v>20768</v>
      </c>
      <c r="H51" s="186" t="s">
        <v>67</v>
      </c>
      <c r="I51" s="186" t="s">
        <v>37</v>
      </c>
      <c r="J51" s="13">
        <f ca="1">ROUNDDOWN(YEARFRAC(EmployeeTable[[#This Row],[Hire Date]], TODAY(), 1), 0)</f>
        <v>30</v>
      </c>
      <c r="K51" s="13">
        <f ca="1">ROUNDDOWN(YEARFRAC(EmployeeTable[[#This Row],[Start Date in Role]], TODAY(), 1), 0)</f>
        <v>22</v>
      </c>
      <c r="L51" s="1">
        <f ca="1">ROUNDDOWN(YEARFRAC(EmployeeTable[[#This Row],[DOB]], TODAY(), 1), 0)</f>
        <v>63</v>
      </c>
      <c r="M51" s="1">
        <f ca="1">IF(EmployeeTable[[#This Row],[Age]]&gt;54,1,0)</f>
        <v>1</v>
      </c>
      <c r="N51" s="1">
        <f>VLOOKUP(EmployeeTable[[#This Row],[Role]],'3. Setup &amp; Role Data'!$G$9:$I$109,2,FALSE)</f>
        <v>65000</v>
      </c>
      <c r="O51" s="1" t="str">
        <f ca="1">IF(EmployeeTable[[#This Row],[Tenure]]&lt;2,"1 Year or Less",IF(EmployeeTable[[#This Row],[Tenure]]&lt;=5,"2-5 Years",IF(EmployeeTable[[#This Row],[Tenure]]&lt;10,"6-10 Years","10+ Years")))</f>
        <v>10+ Years</v>
      </c>
      <c r="P51" s="1" t="str">
        <f ca="1">IF(EmployeeTable[[#This Row],[Role Tenure]]&lt;2,"1 Year or Less",IF(EmployeeTable[[#This Row],[Role Tenure]]&lt;=5,"2-5 Years",IF(EmployeeTable[[#This Row],[Role Tenure]]&lt;10,"6-10 Years","10+ Years")))</f>
        <v>10+ Years</v>
      </c>
      <c r="Q5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52" spans="2:17" x14ac:dyDescent="0.2">
      <c r="B52" s="186">
        <v>4285</v>
      </c>
      <c r="C52" s="186" t="s">
        <v>45</v>
      </c>
      <c r="D52" s="186" t="s">
        <v>27</v>
      </c>
      <c r="E52" s="187">
        <v>19862</v>
      </c>
      <c r="F52" s="187">
        <v>39883</v>
      </c>
      <c r="G52" s="187">
        <v>28433</v>
      </c>
      <c r="H52" s="186" t="s">
        <v>68</v>
      </c>
      <c r="I52" s="186" t="s">
        <v>37</v>
      </c>
      <c r="J52" s="13">
        <f ca="1">ROUNDDOWN(YEARFRAC(EmployeeTable[[#This Row],[Hire Date]], TODAY(), 1), 0)</f>
        <v>65</v>
      </c>
      <c r="K52" s="13">
        <f ca="1">ROUNDDOWN(YEARFRAC(EmployeeTable[[#This Row],[Start Date in Role]], TODAY(), 1), 0)</f>
        <v>11</v>
      </c>
      <c r="L52" s="1">
        <f ca="1">ROUNDDOWN(YEARFRAC(EmployeeTable[[#This Row],[DOB]], TODAY(), 1), 0)</f>
        <v>42</v>
      </c>
      <c r="M52" s="1">
        <f ca="1">IF(EmployeeTable[[#This Row],[Age]]&gt;54,1,0)</f>
        <v>0</v>
      </c>
      <c r="N52" s="1">
        <f>VLOOKUP(EmployeeTable[[#This Row],[Role]],'3. Setup &amp; Role Data'!$G$9:$I$109,2,FALSE)</f>
        <v>65000</v>
      </c>
      <c r="O52" s="1" t="str">
        <f ca="1">IF(EmployeeTable[[#This Row],[Tenure]]&lt;2,"1 Year or Less",IF(EmployeeTable[[#This Row],[Tenure]]&lt;=5,"2-5 Years",IF(EmployeeTable[[#This Row],[Tenure]]&lt;10,"6-10 Years","10+ Years")))</f>
        <v>10+ Years</v>
      </c>
      <c r="P52" s="1" t="str">
        <f ca="1">IF(EmployeeTable[[#This Row],[Role Tenure]]&lt;2,"1 Year or Less",IF(EmployeeTable[[#This Row],[Role Tenure]]&lt;=5,"2-5 Years",IF(EmployeeTable[[#This Row],[Role Tenure]]&lt;10,"6-10 Years","10+ Years")))</f>
        <v>10+ Years</v>
      </c>
      <c r="Q5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53" spans="2:17" x14ac:dyDescent="0.2">
      <c r="B53" s="186">
        <v>3607</v>
      </c>
      <c r="C53" s="186" t="s">
        <v>45</v>
      </c>
      <c r="D53" s="186" t="s">
        <v>27</v>
      </c>
      <c r="E53" s="187">
        <v>25436</v>
      </c>
      <c r="F53" s="187">
        <v>18888</v>
      </c>
      <c r="G53" s="187">
        <v>34203</v>
      </c>
      <c r="H53" s="186" t="s">
        <v>67</v>
      </c>
      <c r="I53" s="186" t="s">
        <v>37</v>
      </c>
      <c r="J53" s="13">
        <f ca="1">ROUNDDOWN(YEARFRAC(EmployeeTable[[#This Row],[Hire Date]], TODAY(), 1), 0)</f>
        <v>50</v>
      </c>
      <c r="K53" s="13">
        <f ca="1">ROUNDDOWN(YEARFRAC(EmployeeTable[[#This Row],[Start Date in Role]], TODAY(), 1), 0)</f>
        <v>68</v>
      </c>
      <c r="L53" s="1">
        <f ca="1">ROUNDDOWN(YEARFRAC(EmployeeTable[[#This Row],[DOB]], TODAY(), 1), 0)</f>
        <v>26</v>
      </c>
      <c r="M53" s="1">
        <f ca="1">IF(EmployeeTable[[#This Row],[Age]]&gt;54,1,0)</f>
        <v>0</v>
      </c>
      <c r="N53" s="1">
        <f>VLOOKUP(EmployeeTable[[#This Row],[Role]],'3. Setup &amp; Role Data'!$G$9:$I$109,2,FALSE)</f>
        <v>65000</v>
      </c>
      <c r="O53" s="1" t="str">
        <f ca="1">IF(EmployeeTable[[#This Row],[Tenure]]&lt;2,"1 Year or Less",IF(EmployeeTable[[#This Row],[Tenure]]&lt;=5,"2-5 Years",IF(EmployeeTable[[#This Row],[Tenure]]&lt;10,"6-10 Years","10+ Years")))</f>
        <v>10+ Years</v>
      </c>
      <c r="P53" s="1" t="str">
        <f ca="1">IF(EmployeeTable[[#This Row],[Role Tenure]]&lt;2,"1 Year or Less",IF(EmployeeTable[[#This Row],[Role Tenure]]&lt;=5,"2-5 Years",IF(EmployeeTable[[#This Row],[Role Tenure]]&lt;10,"6-10 Years","10+ Years")))</f>
        <v>10+ Years</v>
      </c>
      <c r="Q5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54" spans="2:17" x14ac:dyDescent="0.2">
      <c r="B54" s="186">
        <v>5620</v>
      </c>
      <c r="C54" s="186" t="s">
        <v>45</v>
      </c>
      <c r="D54" s="186" t="s">
        <v>47</v>
      </c>
      <c r="E54" s="187">
        <v>32243</v>
      </c>
      <c r="F54" s="187">
        <v>37760</v>
      </c>
      <c r="G54" s="187">
        <v>23623</v>
      </c>
      <c r="H54" s="186" t="s">
        <v>68</v>
      </c>
      <c r="I54" s="186" t="s">
        <v>37</v>
      </c>
      <c r="J54" s="13">
        <f ca="1">ROUNDDOWN(YEARFRAC(EmployeeTable[[#This Row],[Hire Date]], TODAY(), 1), 0)</f>
        <v>31</v>
      </c>
      <c r="K54" s="13">
        <f ca="1">ROUNDDOWN(YEARFRAC(EmployeeTable[[#This Row],[Start Date in Role]], TODAY(), 1), 0)</f>
        <v>16</v>
      </c>
      <c r="L54" s="1">
        <f ca="1">ROUNDDOWN(YEARFRAC(EmployeeTable[[#This Row],[DOB]], TODAY(), 1), 0)</f>
        <v>55</v>
      </c>
      <c r="M54" s="1">
        <f ca="1">IF(EmployeeTable[[#This Row],[Age]]&gt;54,1,0)</f>
        <v>1</v>
      </c>
      <c r="N54" s="1">
        <f>VLOOKUP(EmployeeTable[[#This Row],[Role]],'3. Setup &amp; Role Data'!$G$9:$I$109,2,FALSE)</f>
        <v>80000</v>
      </c>
      <c r="O54" s="1" t="str">
        <f ca="1">IF(EmployeeTable[[#This Row],[Tenure]]&lt;2,"1 Year or Less",IF(EmployeeTable[[#This Row],[Tenure]]&lt;=5,"2-5 Years",IF(EmployeeTable[[#This Row],[Tenure]]&lt;10,"6-10 Years","10+ Years")))</f>
        <v>10+ Years</v>
      </c>
      <c r="P54" s="1" t="str">
        <f ca="1">IF(EmployeeTable[[#This Row],[Role Tenure]]&lt;2,"1 Year or Less",IF(EmployeeTable[[#This Row],[Role Tenure]]&lt;=5,"2-5 Years",IF(EmployeeTable[[#This Row],[Role Tenure]]&lt;10,"6-10 Years","10+ Years")))</f>
        <v>10+ Years</v>
      </c>
      <c r="Q5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55" spans="2:17" x14ac:dyDescent="0.2">
      <c r="B55" s="186">
        <v>4424</v>
      </c>
      <c r="C55" s="186" t="s">
        <v>45</v>
      </c>
      <c r="D55" s="186" t="s">
        <v>47</v>
      </c>
      <c r="E55" s="187">
        <v>24742</v>
      </c>
      <c r="F55" s="187">
        <v>36692</v>
      </c>
      <c r="G55" s="187">
        <v>33938</v>
      </c>
      <c r="H55" s="186" t="s">
        <v>67</v>
      </c>
      <c r="I55" s="186" t="s">
        <v>37</v>
      </c>
      <c r="J55" s="13">
        <f ca="1">ROUNDDOWN(YEARFRAC(EmployeeTable[[#This Row],[Hire Date]], TODAY(), 1), 0)</f>
        <v>52</v>
      </c>
      <c r="K55" s="13">
        <f ca="1">ROUNDDOWN(YEARFRAC(EmployeeTable[[#This Row],[Start Date in Role]], TODAY(), 1), 0)</f>
        <v>19</v>
      </c>
      <c r="L55" s="1">
        <f ca="1">ROUNDDOWN(YEARFRAC(EmployeeTable[[#This Row],[DOB]], TODAY(), 1), 0)</f>
        <v>27</v>
      </c>
      <c r="M55" s="1">
        <f ca="1">IF(EmployeeTable[[#This Row],[Age]]&gt;54,1,0)</f>
        <v>0</v>
      </c>
      <c r="N55" s="1">
        <f>VLOOKUP(EmployeeTable[[#This Row],[Role]],'3. Setup &amp; Role Data'!$G$9:$I$109,2,FALSE)</f>
        <v>80000</v>
      </c>
      <c r="O55" s="1" t="str">
        <f ca="1">IF(EmployeeTable[[#This Row],[Tenure]]&lt;2,"1 Year or Less",IF(EmployeeTable[[#This Row],[Tenure]]&lt;=5,"2-5 Years",IF(EmployeeTable[[#This Row],[Tenure]]&lt;10,"6-10 Years","10+ Years")))</f>
        <v>10+ Years</v>
      </c>
      <c r="P55" s="1" t="str">
        <f ca="1">IF(EmployeeTable[[#This Row],[Role Tenure]]&lt;2,"1 Year or Less",IF(EmployeeTable[[#This Row],[Role Tenure]]&lt;=5,"2-5 Years",IF(EmployeeTable[[#This Row],[Role Tenure]]&lt;10,"6-10 Years","10+ Years")))</f>
        <v>10+ Years</v>
      </c>
      <c r="Q5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56" spans="2:17" x14ac:dyDescent="0.2">
      <c r="B56" s="186">
        <v>7871</v>
      </c>
      <c r="C56" s="186" t="s">
        <v>45</v>
      </c>
      <c r="D56" s="186" t="s">
        <v>47</v>
      </c>
      <c r="E56" s="187">
        <v>38784</v>
      </c>
      <c r="F56" s="187">
        <v>38949</v>
      </c>
      <c r="G56" s="187">
        <v>27090</v>
      </c>
      <c r="H56" s="186" t="s">
        <v>67</v>
      </c>
      <c r="I56" s="186" t="s">
        <v>37</v>
      </c>
      <c r="J56" s="13">
        <f ca="1">ROUNDDOWN(YEARFRAC(EmployeeTable[[#This Row],[Hire Date]], TODAY(), 1), 0)</f>
        <v>14</v>
      </c>
      <c r="K56" s="13">
        <f ca="1">ROUNDDOWN(YEARFRAC(EmployeeTable[[#This Row],[Start Date in Role]], TODAY(), 1), 0)</f>
        <v>13</v>
      </c>
      <c r="L56" s="1">
        <f ca="1">ROUNDDOWN(YEARFRAC(EmployeeTable[[#This Row],[DOB]], TODAY(), 1), 0)</f>
        <v>46</v>
      </c>
      <c r="M56" s="1">
        <f ca="1">IF(EmployeeTable[[#This Row],[Age]]&gt;54,1,0)</f>
        <v>0</v>
      </c>
      <c r="N56" s="1">
        <f>VLOOKUP(EmployeeTable[[#This Row],[Role]],'3. Setup &amp; Role Data'!$G$9:$I$109,2,FALSE)</f>
        <v>80000</v>
      </c>
      <c r="O56" s="1" t="str">
        <f ca="1">IF(EmployeeTable[[#This Row],[Tenure]]&lt;2,"1 Year or Less",IF(EmployeeTable[[#This Row],[Tenure]]&lt;=5,"2-5 Years",IF(EmployeeTable[[#This Row],[Tenure]]&lt;10,"6-10 Years","10+ Years")))</f>
        <v>10+ Years</v>
      </c>
      <c r="P56" s="1" t="str">
        <f ca="1">IF(EmployeeTable[[#This Row],[Role Tenure]]&lt;2,"1 Year or Less",IF(EmployeeTable[[#This Row],[Role Tenure]]&lt;=5,"2-5 Years",IF(EmployeeTable[[#This Row],[Role Tenure]]&lt;10,"6-10 Years","10+ Years")))</f>
        <v>10+ Years</v>
      </c>
      <c r="Q5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57" spans="2:17" x14ac:dyDescent="0.2">
      <c r="B57" s="186">
        <v>9858</v>
      </c>
      <c r="C57" s="186" t="s">
        <v>45</v>
      </c>
      <c r="D57" s="186" t="s">
        <v>47</v>
      </c>
      <c r="E57" s="187">
        <v>27361</v>
      </c>
      <c r="F57" s="187">
        <v>21638</v>
      </c>
      <c r="G57" s="187">
        <v>27616</v>
      </c>
      <c r="H57" s="186" t="s">
        <v>68</v>
      </c>
      <c r="I57" s="186" t="s">
        <v>37</v>
      </c>
      <c r="J57" s="13">
        <f ca="1">ROUNDDOWN(YEARFRAC(EmployeeTable[[#This Row],[Hire Date]], TODAY(), 1), 0)</f>
        <v>45</v>
      </c>
      <c r="K57" s="13">
        <f ca="1">ROUNDDOWN(YEARFRAC(EmployeeTable[[#This Row],[Start Date in Role]], TODAY(), 1), 0)</f>
        <v>60</v>
      </c>
      <c r="L57" s="1">
        <f ca="1">ROUNDDOWN(YEARFRAC(EmployeeTable[[#This Row],[DOB]], TODAY(), 1), 0)</f>
        <v>44</v>
      </c>
      <c r="M57" s="1">
        <f ca="1">IF(EmployeeTable[[#This Row],[Age]]&gt;54,1,0)</f>
        <v>0</v>
      </c>
      <c r="N57" s="1">
        <f>VLOOKUP(EmployeeTable[[#This Row],[Role]],'3. Setup &amp; Role Data'!$G$9:$I$109,2,FALSE)</f>
        <v>80000</v>
      </c>
      <c r="O57" s="1" t="str">
        <f ca="1">IF(EmployeeTable[[#This Row],[Tenure]]&lt;2,"1 Year or Less",IF(EmployeeTable[[#This Row],[Tenure]]&lt;=5,"2-5 Years",IF(EmployeeTable[[#This Row],[Tenure]]&lt;10,"6-10 Years","10+ Years")))</f>
        <v>10+ Years</v>
      </c>
      <c r="P57" s="1" t="str">
        <f ca="1">IF(EmployeeTable[[#This Row],[Role Tenure]]&lt;2,"1 Year or Less",IF(EmployeeTable[[#This Row],[Role Tenure]]&lt;=5,"2-5 Years",IF(EmployeeTable[[#This Row],[Role Tenure]]&lt;10,"6-10 Years","10+ Years")))</f>
        <v>10+ Years</v>
      </c>
      <c r="Q5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58" spans="2:17" x14ac:dyDescent="0.2">
      <c r="B58" s="186">
        <v>5194</v>
      </c>
      <c r="C58" s="186" t="s">
        <v>45</v>
      </c>
      <c r="D58" s="186" t="s">
        <v>47</v>
      </c>
      <c r="E58" s="187">
        <v>31015</v>
      </c>
      <c r="F58" s="187">
        <v>30811</v>
      </c>
      <c r="G58" s="187">
        <v>29306</v>
      </c>
      <c r="H58" s="186" t="s">
        <v>67</v>
      </c>
      <c r="I58" s="186" t="s">
        <v>37</v>
      </c>
      <c r="J58" s="13">
        <f ca="1">ROUNDDOWN(YEARFRAC(EmployeeTable[[#This Row],[Hire Date]], TODAY(), 1), 0)</f>
        <v>35</v>
      </c>
      <c r="K58" s="13">
        <f ca="1">ROUNDDOWN(YEARFRAC(EmployeeTable[[#This Row],[Start Date in Role]], TODAY(), 1), 0)</f>
        <v>35</v>
      </c>
      <c r="L58" s="1">
        <f ca="1">ROUNDDOWN(YEARFRAC(EmployeeTable[[#This Row],[DOB]], TODAY(), 1), 0)</f>
        <v>39</v>
      </c>
      <c r="M58" s="1">
        <f ca="1">IF(EmployeeTable[[#This Row],[Age]]&gt;54,1,0)</f>
        <v>0</v>
      </c>
      <c r="N58" s="1">
        <f>VLOOKUP(EmployeeTable[[#This Row],[Role]],'3. Setup &amp; Role Data'!$G$9:$I$109,2,FALSE)</f>
        <v>80000</v>
      </c>
      <c r="O58" s="1" t="str">
        <f ca="1">IF(EmployeeTable[[#This Row],[Tenure]]&lt;2,"1 Year or Less",IF(EmployeeTable[[#This Row],[Tenure]]&lt;=5,"2-5 Years",IF(EmployeeTable[[#This Row],[Tenure]]&lt;10,"6-10 Years","10+ Years")))</f>
        <v>10+ Years</v>
      </c>
      <c r="P58" s="1" t="str">
        <f ca="1">IF(EmployeeTable[[#This Row],[Role Tenure]]&lt;2,"1 Year or Less",IF(EmployeeTable[[#This Row],[Role Tenure]]&lt;=5,"2-5 Years",IF(EmployeeTable[[#This Row],[Role Tenure]]&lt;10,"6-10 Years","10+ Years")))</f>
        <v>10+ Years</v>
      </c>
      <c r="Q58"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59" spans="2:17" x14ac:dyDescent="0.2">
      <c r="B59" s="186">
        <v>8447</v>
      </c>
      <c r="C59" s="186" t="s">
        <v>45</v>
      </c>
      <c r="D59" s="186" t="s">
        <v>47</v>
      </c>
      <c r="E59" s="187">
        <v>30757</v>
      </c>
      <c r="F59" s="187">
        <v>27988</v>
      </c>
      <c r="G59" s="187">
        <v>32338</v>
      </c>
      <c r="H59" s="186" t="s">
        <v>67</v>
      </c>
      <c r="I59" s="186" t="s">
        <v>37</v>
      </c>
      <c r="J59" s="13">
        <f ca="1">ROUNDDOWN(YEARFRAC(EmployeeTable[[#This Row],[Hire Date]], TODAY(), 1), 0)</f>
        <v>36</v>
      </c>
      <c r="K59" s="13">
        <f ca="1">ROUNDDOWN(YEARFRAC(EmployeeTable[[#This Row],[Start Date in Role]], TODAY(), 1), 0)</f>
        <v>43</v>
      </c>
      <c r="L59" s="1">
        <f ca="1">ROUNDDOWN(YEARFRAC(EmployeeTable[[#This Row],[DOB]], TODAY(), 1), 0)</f>
        <v>31</v>
      </c>
      <c r="M59" s="1">
        <f ca="1">IF(EmployeeTable[[#This Row],[Age]]&gt;54,1,0)</f>
        <v>0</v>
      </c>
      <c r="N59" s="1">
        <f>VLOOKUP(EmployeeTable[[#This Row],[Role]],'3. Setup &amp; Role Data'!$G$9:$I$109,2,FALSE)</f>
        <v>80000</v>
      </c>
      <c r="O59" s="1" t="str">
        <f ca="1">IF(EmployeeTable[[#This Row],[Tenure]]&lt;2,"1 Year or Less",IF(EmployeeTable[[#This Row],[Tenure]]&lt;=5,"2-5 Years",IF(EmployeeTable[[#This Row],[Tenure]]&lt;10,"6-10 Years","10+ Years")))</f>
        <v>10+ Years</v>
      </c>
      <c r="P59" s="1" t="str">
        <f ca="1">IF(EmployeeTable[[#This Row],[Role Tenure]]&lt;2,"1 Year or Less",IF(EmployeeTable[[#This Row],[Role Tenure]]&lt;=5,"2-5 Years",IF(EmployeeTable[[#This Row],[Role Tenure]]&lt;10,"6-10 Years","10+ Years")))</f>
        <v>10+ Years</v>
      </c>
      <c r="Q59"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25 to 34</v>
      </c>
    </row>
    <row r="60" spans="2:17" x14ac:dyDescent="0.2">
      <c r="B60" s="186">
        <v>3953</v>
      </c>
      <c r="C60" s="186" t="s">
        <v>45</v>
      </c>
      <c r="D60" s="186" t="s">
        <v>47</v>
      </c>
      <c r="E60" s="187">
        <v>25057</v>
      </c>
      <c r="F60" s="187">
        <v>23649</v>
      </c>
      <c r="G60" s="187">
        <v>20049</v>
      </c>
      <c r="H60" s="186" t="s">
        <v>68</v>
      </c>
      <c r="I60" s="186" t="s">
        <v>37</v>
      </c>
      <c r="J60" s="13">
        <f ca="1">ROUNDDOWN(YEARFRAC(EmployeeTable[[#This Row],[Hire Date]], TODAY(), 1), 0)</f>
        <v>51</v>
      </c>
      <c r="K60" s="13">
        <f ca="1">ROUNDDOWN(YEARFRAC(EmployeeTable[[#This Row],[Start Date in Role]], TODAY(), 1), 0)</f>
        <v>55</v>
      </c>
      <c r="L60" s="1">
        <f ca="1">ROUNDDOWN(YEARFRAC(EmployeeTable[[#This Row],[DOB]], TODAY(), 1), 0)</f>
        <v>65</v>
      </c>
      <c r="M60" s="1">
        <f ca="1">IF(EmployeeTable[[#This Row],[Age]]&gt;54,1,0)</f>
        <v>1</v>
      </c>
      <c r="N60" s="1">
        <f>VLOOKUP(EmployeeTable[[#This Row],[Role]],'3. Setup &amp; Role Data'!$G$9:$I$109,2,FALSE)</f>
        <v>80000</v>
      </c>
      <c r="O60" s="1" t="str">
        <f ca="1">IF(EmployeeTable[[#This Row],[Tenure]]&lt;2,"1 Year or Less",IF(EmployeeTable[[#This Row],[Tenure]]&lt;=5,"2-5 Years",IF(EmployeeTable[[#This Row],[Tenure]]&lt;10,"6-10 Years","10+ Years")))</f>
        <v>10+ Years</v>
      </c>
      <c r="P60" s="1" t="str">
        <f ca="1">IF(EmployeeTable[[#This Row],[Role Tenure]]&lt;2,"1 Year or Less",IF(EmployeeTable[[#This Row],[Role Tenure]]&lt;=5,"2-5 Years",IF(EmployeeTable[[#This Row],[Role Tenure]]&lt;10,"6-10 Years","10+ Years")))</f>
        <v>10+ Years</v>
      </c>
      <c r="Q60"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61" spans="2:17" x14ac:dyDescent="0.2">
      <c r="B61" s="186">
        <v>5368</v>
      </c>
      <c r="C61" s="186" t="s">
        <v>45</v>
      </c>
      <c r="D61" s="186" t="s">
        <v>47</v>
      </c>
      <c r="E61" s="187">
        <v>18940</v>
      </c>
      <c r="F61" s="187">
        <v>20771</v>
      </c>
      <c r="G61" s="187">
        <v>24710</v>
      </c>
      <c r="H61" s="186" t="s">
        <v>67</v>
      </c>
      <c r="I61" s="186" t="s">
        <v>37</v>
      </c>
      <c r="J61" s="13">
        <f ca="1">ROUNDDOWN(YEARFRAC(EmployeeTable[[#This Row],[Hire Date]], TODAY(), 1), 0)</f>
        <v>68</v>
      </c>
      <c r="K61" s="13">
        <f ca="1">ROUNDDOWN(YEARFRAC(EmployeeTable[[#This Row],[Start Date in Role]], TODAY(), 1), 0)</f>
        <v>63</v>
      </c>
      <c r="L61" s="1">
        <f ca="1">ROUNDDOWN(YEARFRAC(EmployeeTable[[#This Row],[DOB]], TODAY(), 1), 0)</f>
        <v>52</v>
      </c>
      <c r="M61" s="1">
        <f ca="1">IF(EmployeeTable[[#This Row],[Age]]&gt;54,1,0)</f>
        <v>0</v>
      </c>
      <c r="N61" s="1">
        <f>VLOOKUP(EmployeeTable[[#This Row],[Role]],'3. Setup &amp; Role Data'!$G$9:$I$109,2,FALSE)</f>
        <v>80000</v>
      </c>
      <c r="O61" s="1" t="str">
        <f ca="1">IF(EmployeeTable[[#This Row],[Tenure]]&lt;2,"1 Year or Less",IF(EmployeeTable[[#This Row],[Tenure]]&lt;=5,"2-5 Years",IF(EmployeeTable[[#This Row],[Tenure]]&lt;10,"6-10 Years","10+ Years")))</f>
        <v>10+ Years</v>
      </c>
      <c r="P61" s="1" t="str">
        <f ca="1">IF(EmployeeTable[[#This Row],[Role Tenure]]&lt;2,"1 Year or Less",IF(EmployeeTable[[#This Row],[Role Tenure]]&lt;=5,"2-5 Years",IF(EmployeeTable[[#This Row],[Role Tenure]]&lt;10,"6-10 Years","10+ Years")))</f>
        <v>10+ Years</v>
      </c>
      <c r="Q61"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62" spans="2:17" x14ac:dyDescent="0.2">
      <c r="B62" s="186">
        <v>1181</v>
      </c>
      <c r="C62" s="186" t="s">
        <v>45</v>
      </c>
      <c r="D62" s="186" t="s">
        <v>47</v>
      </c>
      <c r="E62" s="187">
        <v>39873</v>
      </c>
      <c r="F62" s="187">
        <v>35165</v>
      </c>
      <c r="G62" s="187">
        <v>20925</v>
      </c>
      <c r="H62" s="186" t="s">
        <v>67</v>
      </c>
      <c r="I62" s="186" t="s">
        <v>37</v>
      </c>
      <c r="J62" s="13">
        <f ca="1">ROUNDDOWN(YEARFRAC(EmployeeTable[[#This Row],[Hire Date]], TODAY(), 1), 0)</f>
        <v>11</v>
      </c>
      <c r="K62" s="13">
        <f ca="1">ROUNDDOWN(YEARFRAC(EmployeeTable[[#This Row],[Start Date in Role]], TODAY(), 1), 0)</f>
        <v>23</v>
      </c>
      <c r="L62" s="1">
        <f ca="1">ROUNDDOWN(YEARFRAC(EmployeeTable[[#This Row],[DOB]], TODAY(), 1), 0)</f>
        <v>62</v>
      </c>
      <c r="M62" s="1">
        <f ca="1">IF(EmployeeTable[[#This Row],[Age]]&gt;54,1,0)</f>
        <v>1</v>
      </c>
      <c r="N62" s="1">
        <f>VLOOKUP(EmployeeTable[[#This Row],[Role]],'3. Setup &amp; Role Data'!$G$9:$I$109,2,FALSE)</f>
        <v>80000</v>
      </c>
      <c r="O62" s="1" t="str">
        <f ca="1">IF(EmployeeTable[[#This Row],[Tenure]]&lt;2,"1 Year or Less",IF(EmployeeTable[[#This Row],[Tenure]]&lt;=5,"2-5 Years",IF(EmployeeTable[[#This Row],[Tenure]]&lt;10,"6-10 Years","10+ Years")))</f>
        <v>10+ Years</v>
      </c>
      <c r="P62" s="1" t="str">
        <f ca="1">IF(EmployeeTable[[#This Row],[Role Tenure]]&lt;2,"1 Year or Less",IF(EmployeeTable[[#This Row],[Role Tenure]]&lt;=5,"2-5 Years",IF(EmployeeTable[[#This Row],[Role Tenure]]&lt;10,"6-10 Years","10+ Years")))</f>
        <v>10+ Years</v>
      </c>
      <c r="Q62"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55 to  64</v>
      </c>
    </row>
    <row r="63" spans="2:17" x14ac:dyDescent="0.2">
      <c r="B63" s="186">
        <v>5936</v>
      </c>
      <c r="C63" s="186" t="s">
        <v>45</v>
      </c>
      <c r="D63" s="186" t="s">
        <v>47</v>
      </c>
      <c r="E63" s="187">
        <v>26936</v>
      </c>
      <c r="F63" s="187">
        <v>39991</v>
      </c>
      <c r="G63" s="187">
        <v>28502</v>
      </c>
      <c r="H63" s="186" t="s">
        <v>68</v>
      </c>
      <c r="I63" s="186" t="s">
        <v>37</v>
      </c>
      <c r="J63" s="13">
        <f ca="1">ROUNDDOWN(YEARFRAC(EmployeeTable[[#This Row],[Hire Date]], TODAY(), 1), 0)</f>
        <v>46</v>
      </c>
      <c r="K63" s="13">
        <f ca="1">ROUNDDOWN(YEARFRAC(EmployeeTable[[#This Row],[Start Date in Role]], TODAY(), 1), 0)</f>
        <v>10</v>
      </c>
      <c r="L63" s="1">
        <f ca="1">ROUNDDOWN(YEARFRAC(EmployeeTable[[#This Row],[DOB]], TODAY(), 1), 0)</f>
        <v>42</v>
      </c>
      <c r="M63" s="1">
        <f ca="1">IF(EmployeeTable[[#This Row],[Age]]&gt;54,1,0)</f>
        <v>0</v>
      </c>
      <c r="N63" s="1">
        <f>VLOOKUP(EmployeeTable[[#This Row],[Role]],'3. Setup &amp; Role Data'!$G$9:$I$109,2,FALSE)</f>
        <v>80000</v>
      </c>
      <c r="O63" s="1" t="str">
        <f ca="1">IF(EmployeeTable[[#This Row],[Tenure]]&lt;2,"1 Year or Less",IF(EmployeeTable[[#This Row],[Tenure]]&lt;=5,"2-5 Years",IF(EmployeeTable[[#This Row],[Tenure]]&lt;10,"6-10 Years","10+ Years")))</f>
        <v>10+ Years</v>
      </c>
      <c r="P63" s="1" t="str">
        <f ca="1">IF(EmployeeTable[[#This Row],[Role Tenure]]&lt;2,"1 Year or Less",IF(EmployeeTable[[#This Row],[Role Tenure]]&lt;=5,"2-5 Years",IF(EmployeeTable[[#This Row],[Role Tenure]]&lt;10,"6-10 Years","10+ Years")))</f>
        <v>10+ Years</v>
      </c>
      <c r="Q63"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64" spans="2:17" x14ac:dyDescent="0.2">
      <c r="B64" s="186">
        <v>5146</v>
      </c>
      <c r="C64" s="186" t="s">
        <v>45</v>
      </c>
      <c r="D64" s="186" t="s">
        <v>47</v>
      </c>
      <c r="E64" s="187">
        <v>18962</v>
      </c>
      <c r="F64" s="187">
        <v>40587</v>
      </c>
      <c r="G64" s="187">
        <v>19277</v>
      </c>
      <c r="H64" s="186" t="s">
        <v>67</v>
      </c>
      <c r="I64" s="186" t="s">
        <v>28</v>
      </c>
      <c r="J64" s="13">
        <f ca="1">ROUNDDOWN(YEARFRAC(EmployeeTable[[#This Row],[Hire Date]], TODAY(), 1), 0)</f>
        <v>68</v>
      </c>
      <c r="K64" s="13">
        <f ca="1">ROUNDDOWN(YEARFRAC(EmployeeTable[[#This Row],[Start Date in Role]], TODAY(), 1), 0)</f>
        <v>9</v>
      </c>
      <c r="L64" s="1">
        <f ca="1">ROUNDDOWN(YEARFRAC(EmployeeTable[[#This Row],[DOB]], TODAY(), 1), 0)</f>
        <v>67</v>
      </c>
      <c r="M64" s="1">
        <f ca="1">IF(EmployeeTable[[#This Row],[Age]]&gt;54,1,0)</f>
        <v>1</v>
      </c>
      <c r="N64" s="1">
        <f>VLOOKUP(EmployeeTable[[#This Row],[Role]],'3. Setup &amp; Role Data'!$G$9:$I$109,2,FALSE)</f>
        <v>80000</v>
      </c>
      <c r="O64" s="1" t="str">
        <f ca="1">IF(EmployeeTable[[#This Row],[Tenure]]&lt;2,"1 Year or Less",IF(EmployeeTable[[#This Row],[Tenure]]&lt;=5,"2-5 Years",IF(EmployeeTable[[#This Row],[Tenure]]&lt;10,"6-10 Years","10+ Years")))</f>
        <v>10+ Years</v>
      </c>
      <c r="P64" s="1" t="str">
        <f ca="1">IF(EmployeeTable[[#This Row],[Role Tenure]]&lt;2,"1 Year or Less",IF(EmployeeTable[[#This Row],[Role Tenure]]&lt;=5,"2-5 Years",IF(EmployeeTable[[#This Row],[Role Tenure]]&lt;10,"6-10 Years","10+ Years")))</f>
        <v>6-10 Years</v>
      </c>
      <c r="Q64"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Over 65</v>
      </c>
    </row>
    <row r="65" spans="2:17" x14ac:dyDescent="0.2">
      <c r="B65" s="186">
        <v>5024</v>
      </c>
      <c r="C65" s="186" t="s">
        <v>36</v>
      </c>
      <c r="D65" s="186" t="s">
        <v>47</v>
      </c>
      <c r="E65" s="187">
        <v>42846</v>
      </c>
      <c r="F65" s="187">
        <v>32561</v>
      </c>
      <c r="G65" s="187">
        <v>27331</v>
      </c>
      <c r="H65" s="186" t="s">
        <v>68</v>
      </c>
      <c r="I65" s="186" t="s">
        <v>28</v>
      </c>
      <c r="J65" s="13">
        <f ca="1">ROUNDDOWN(YEARFRAC(EmployeeTable[[#This Row],[Hire Date]], TODAY(), 1), 0)</f>
        <v>2</v>
      </c>
      <c r="K65" s="13">
        <f ca="1">ROUNDDOWN(YEARFRAC(EmployeeTable[[#This Row],[Start Date in Role]], TODAY(), 1), 0)</f>
        <v>31</v>
      </c>
      <c r="L65" s="1">
        <f ca="1">ROUNDDOWN(YEARFRAC(EmployeeTable[[#This Row],[DOB]], TODAY(), 1), 0)</f>
        <v>45</v>
      </c>
      <c r="M65" s="1">
        <f ca="1">IF(EmployeeTable[[#This Row],[Age]]&gt;54,1,0)</f>
        <v>0</v>
      </c>
      <c r="N65" s="1">
        <f>VLOOKUP(EmployeeTable[[#This Row],[Role]],'3. Setup &amp; Role Data'!$G$9:$I$109,2,FALSE)</f>
        <v>80000</v>
      </c>
      <c r="O65" s="1" t="str">
        <f ca="1">IF(EmployeeTable[[#This Row],[Tenure]]&lt;2,"1 Year or Less",IF(EmployeeTable[[#This Row],[Tenure]]&lt;=5,"2-5 Years",IF(EmployeeTable[[#This Row],[Tenure]]&lt;10,"6-10 Years","10+ Years")))</f>
        <v>2-5 Years</v>
      </c>
      <c r="P65" s="1" t="str">
        <f ca="1">IF(EmployeeTable[[#This Row],[Role Tenure]]&lt;2,"1 Year or Less",IF(EmployeeTable[[#This Row],[Role Tenure]]&lt;=5,"2-5 Years",IF(EmployeeTable[[#This Row],[Role Tenure]]&lt;10,"6-10 Years","10+ Years")))</f>
        <v>10+ Years</v>
      </c>
      <c r="Q65"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row r="66" spans="2:17" x14ac:dyDescent="0.2">
      <c r="B66" s="186">
        <v>2221</v>
      </c>
      <c r="C66" s="186" t="s">
        <v>39</v>
      </c>
      <c r="D66" s="186" t="s">
        <v>38</v>
      </c>
      <c r="E66" s="187">
        <v>42055</v>
      </c>
      <c r="F66" s="187">
        <v>42495</v>
      </c>
      <c r="G66" s="187">
        <v>29346</v>
      </c>
      <c r="H66" s="186" t="s">
        <v>69</v>
      </c>
      <c r="I66" s="186" t="s">
        <v>37</v>
      </c>
      <c r="J66" s="13">
        <f ca="1">ROUNDDOWN(YEARFRAC(EmployeeTable[[#This Row],[Hire Date]], TODAY(), 1), 0)</f>
        <v>5</v>
      </c>
      <c r="K66" s="13">
        <f ca="1">ROUNDDOWN(YEARFRAC(EmployeeTable[[#This Row],[Start Date in Role]], TODAY(), 1), 0)</f>
        <v>3</v>
      </c>
      <c r="L66" s="1">
        <f ca="1">ROUNDDOWN(YEARFRAC(EmployeeTable[[#This Row],[DOB]], TODAY(), 1), 0)</f>
        <v>39</v>
      </c>
      <c r="M66" s="1">
        <f ca="1">IF(EmployeeTable[[#This Row],[Age]]&gt;54,1,0)</f>
        <v>0</v>
      </c>
      <c r="N66" s="1">
        <f>VLOOKUP(EmployeeTable[[#This Row],[Role]],'3. Setup &amp; Role Data'!$G$9:$I$109,2,FALSE)</f>
        <v>80000</v>
      </c>
      <c r="O66" s="1" t="str">
        <f ca="1">IF(EmployeeTable[[#This Row],[Tenure]]&lt;2,"1 Year or Less",IF(EmployeeTable[[#This Row],[Tenure]]&lt;=5,"2-5 Years",IF(EmployeeTable[[#This Row],[Tenure]]&lt;10,"6-10 Years","10+ Years")))</f>
        <v>2-5 Years</v>
      </c>
      <c r="P66" s="1" t="str">
        <f ca="1">IF(EmployeeTable[[#This Row],[Role Tenure]]&lt;2,"1 Year or Less",IF(EmployeeTable[[#This Row],[Role Tenure]]&lt;=5,"2-5 Years",IF(EmployeeTable[[#This Row],[Role Tenure]]&lt;10,"6-10 Years","10+ Years")))</f>
        <v>2-5 Years</v>
      </c>
      <c r="Q66"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35 to 44</v>
      </c>
    </row>
    <row r="67" spans="2:17" x14ac:dyDescent="0.2">
      <c r="B67" s="186">
        <v>1321</v>
      </c>
      <c r="C67" s="186" t="s">
        <v>39</v>
      </c>
      <c r="D67" s="186" t="s">
        <v>47</v>
      </c>
      <c r="E67" s="187">
        <v>38353</v>
      </c>
      <c r="F67" s="187">
        <v>42495</v>
      </c>
      <c r="G67" s="187">
        <v>26424</v>
      </c>
      <c r="H67" s="186" t="s">
        <v>69</v>
      </c>
      <c r="I67" s="186" t="s">
        <v>37</v>
      </c>
      <c r="J67" s="13">
        <f ca="1">ROUNDDOWN(YEARFRAC(EmployeeTable[[#This Row],[Hire Date]], TODAY(), 1), 0)</f>
        <v>15</v>
      </c>
      <c r="K67" s="13">
        <f ca="1">ROUNDDOWN(YEARFRAC(EmployeeTable[[#This Row],[Start Date in Role]], TODAY(), 1), 0)</f>
        <v>3</v>
      </c>
      <c r="L67" s="1">
        <f ca="1">ROUNDDOWN(YEARFRAC(EmployeeTable[[#This Row],[DOB]], TODAY(), 1), 0)</f>
        <v>47</v>
      </c>
      <c r="M67" s="1">
        <f ca="1">IF(EmployeeTable[[#This Row],[Age]]&gt;54,1,0)</f>
        <v>0</v>
      </c>
      <c r="N67" s="1">
        <f>VLOOKUP(EmployeeTable[[#This Row],[Role]],'3. Setup &amp; Role Data'!$G$9:$I$109,2,FALSE)</f>
        <v>80000</v>
      </c>
      <c r="O67" s="1" t="str">
        <f ca="1">IF(EmployeeTable[[#This Row],[Tenure]]&lt;2,"1 Year or Less",IF(EmployeeTable[[#This Row],[Tenure]]&lt;=5,"2-5 Years",IF(EmployeeTable[[#This Row],[Tenure]]&lt;10,"6-10 Years","10+ Years")))</f>
        <v>10+ Years</v>
      </c>
      <c r="P67" s="1" t="str">
        <f ca="1">IF(EmployeeTable[[#This Row],[Role Tenure]]&lt;2,"1 Year or Less",IF(EmployeeTable[[#This Row],[Role Tenure]]&lt;=5,"2-5 Years",IF(EmployeeTable[[#This Row],[Role Tenure]]&lt;10,"6-10 Years","10+ Years")))</f>
        <v>2-5 Years</v>
      </c>
      <c r="Q67" s="1" t="str">
        <f ca="1">IF(EmployeeTable[[#This Row],[Age]]&lt;25,"Under 25", IF(AND(EmployeeTable[[#This Row],[Age]]&gt;24,EmployeeTable[[#This Row],[Age]]&lt;35),"25 to 34",IF(AND(EmployeeTable[[#This Row],[Age]]&gt;34,EmployeeTable[[#This Row],[Age]]&lt;45),"35 to 44",IF(AND(EmployeeTable[[#This Row],[Age]]&gt;44,EmployeeTable[[#This Row],[Age]]&lt;55),"45 to 54", IF(AND(EmployeeTable[[#This Row],[Age]]&gt;55,EmployeeTable[[#This Row],[Age]]&lt;65),"55 to  64", "Over 65")))))</f>
        <v>45 to 54</v>
      </c>
    </row>
  </sheetData>
  <mergeCells count="2">
    <mergeCell ref="B2:Q2"/>
    <mergeCell ref="B3:Q3"/>
  </mergeCells>
  <dataValidations count="5">
    <dataValidation type="list" allowBlank="1" showInputMessage="1" showErrorMessage="1" sqref="D74:D77" xr:uid="{00000000-0002-0000-0300-000000000000}">
      <formula1>Role</formula1>
    </dataValidation>
    <dataValidation type="list" allowBlank="1" showInputMessage="1" showErrorMessage="1" sqref="C6:C67" xr:uid="{00000000-0002-0000-0300-000001000000}">
      <formula1>DeptDropdown</formula1>
    </dataValidation>
    <dataValidation type="list" allowBlank="1" showInputMessage="1" showErrorMessage="1" sqref="I6:I67" xr:uid="{00000000-0002-0000-0300-000002000000}">
      <formula1>DiversityDropdown</formula1>
    </dataValidation>
    <dataValidation type="list" allowBlank="1" showInputMessage="1" showErrorMessage="1" sqref="H6:H67" xr:uid="{00000000-0002-0000-0300-000003000000}">
      <formula1>gender</formula1>
    </dataValidation>
    <dataValidation type="list" allowBlank="1" showInputMessage="1" showErrorMessage="1" sqref="D6:D73" xr:uid="{00000000-0002-0000-0300-000004000000}">
      <formula1>RoleDropdown</formula1>
    </dataValidation>
  </dataValidations>
  <pageMargins left="0.75" right="0.75" top="1" bottom="1" header="0.5" footer="0.5"/>
  <pageSetup paperSize="5" orientation="landscape"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B1:P28"/>
  <sheetViews>
    <sheetView showGridLines="0" zoomScaleNormal="100" workbookViewId="0"/>
  </sheetViews>
  <sheetFormatPr defaultColWidth="9" defaultRowHeight="14.25" x14ac:dyDescent="0.2"/>
  <cols>
    <col min="1" max="1" width="2.5" style="15" customWidth="1"/>
    <col min="2" max="2" width="4.25" style="15" customWidth="1"/>
    <col min="3" max="3" width="12.25" style="15" bestFit="1" customWidth="1"/>
    <col min="4" max="4" width="13.625" style="15" customWidth="1"/>
    <col min="5" max="5" width="10.5" style="15" customWidth="1"/>
    <col min="6" max="6" width="11.125" style="15" bestFit="1" customWidth="1"/>
    <col min="7" max="13" width="9" style="15"/>
    <col min="14" max="14" width="17.25" style="15" customWidth="1"/>
    <col min="15" max="15" width="15.625" style="15" bestFit="1" customWidth="1"/>
    <col min="16" max="16" width="8.375" style="15" customWidth="1"/>
    <col min="17" max="16384" width="9" style="15"/>
  </cols>
  <sheetData>
    <row r="1" spans="2:16" ht="15" customHeight="1" x14ac:dyDescent="0.2"/>
    <row r="2" spans="2:16" ht="33.75" customHeight="1" x14ac:dyDescent="0.2">
      <c r="B2" s="236" t="s">
        <v>70</v>
      </c>
      <c r="C2" s="236"/>
      <c r="D2" s="236"/>
      <c r="E2" s="236"/>
      <c r="F2" s="236"/>
      <c r="G2" s="236"/>
      <c r="H2" s="236"/>
      <c r="I2" s="236"/>
      <c r="J2" s="236"/>
      <c r="K2" s="236"/>
      <c r="L2" s="236"/>
      <c r="M2" s="236"/>
      <c r="N2" s="236"/>
      <c r="O2" s="236"/>
      <c r="P2" s="236"/>
    </row>
    <row r="3" spans="2:16" ht="126.75" customHeight="1" x14ac:dyDescent="0.2">
      <c r="B3" s="243" t="s">
        <v>193</v>
      </c>
      <c r="C3" s="243"/>
      <c r="D3" s="243"/>
      <c r="E3" s="243"/>
      <c r="F3" s="243"/>
      <c r="G3" s="243"/>
      <c r="H3" s="243"/>
      <c r="I3" s="243"/>
      <c r="J3" s="243"/>
      <c r="K3" s="243"/>
      <c r="L3" s="243"/>
      <c r="M3" s="243"/>
      <c r="N3" s="243"/>
      <c r="O3" s="243"/>
      <c r="P3" s="243"/>
    </row>
    <row r="5" spans="2:16" ht="15" thickBot="1" x14ac:dyDescent="0.25"/>
    <row r="6" spans="2:16" ht="15" x14ac:dyDescent="0.25">
      <c r="N6" s="241" t="s">
        <v>71</v>
      </c>
      <c r="O6" s="242"/>
    </row>
    <row r="7" spans="2:16" x14ac:dyDescent="0.2">
      <c r="N7" s="71" t="s">
        <v>72</v>
      </c>
      <c r="O7" s="72">
        <f>'Hidden-Dashboard1'!I13</f>
        <v>7</v>
      </c>
    </row>
    <row r="8" spans="2:16" x14ac:dyDescent="0.2">
      <c r="N8" s="73" t="s">
        <v>73</v>
      </c>
      <c r="O8" s="72">
        <f>'Hidden-Dashboard1'!I14</f>
        <v>4</v>
      </c>
    </row>
    <row r="9" spans="2:16" x14ac:dyDescent="0.2">
      <c r="N9" s="73" t="s">
        <v>74</v>
      </c>
      <c r="O9" s="72">
        <f>'Hidden-Dashboard1'!I15</f>
        <v>51</v>
      </c>
    </row>
    <row r="10" spans="2:16" ht="15" thickBot="1" x14ac:dyDescent="0.25">
      <c r="N10" s="75" t="s">
        <v>75</v>
      </c>
      <c r="O10" s="92">
        <f>'Hidden-Dashboard1'!I16</f>
        <v>0</v>
      </c>
    </row>
    <row r="11" spans="2:16" ht="15" thickBot="1" x14ac:dyDescent="0.25"/>
    <row r="12" spans="2:16" ht="15" x14ac:dyDescent="0.25">
      <c r="N12" s="241" t="s">
        <v>76</v>
      </c>
      <c r="O12" s="242"/>
    </row>
    <row r="13" spans="2:16" x14ac:dyDescent="0.2">
      <c r="N13" s="71" t="s">
        <v>72</v>
      </c>
      <c r="O13" s="72">
        <f>'Hidden-Dashboard1'!I6</f>
        <v>0</v>
      </c>
    </row>
    <row r="14" spans="2:16" x14ac:dyDescent="0.2">
      <c r="N14" s="73" t="s">
        <v>73</v>
      </c>
      <c r="O14" s="74">
        <f>'Hidden-Dashboard1'!I7</f>
        <v>5</v>
      </c>
    </row>
    <row r="15" spans="2:16" x14ac:dyDescent="0.2">
      <c r="N15" s="73" t="s">
        <v>74</v>
      </c>
      <c r="O15" s="74">
        <f>'Hidden-Dashboard1'!I8</f>
        <v>3</v>
      </c>
    </row>
    <row r="16" spans="2:16" ht="15" thickBot="1" x14ac:dyDescent="0.25">
      <c r="N16" s="75" t="s">
        <v>75</v>
      </c>
      <c r="O16" s="76">
        <f>'Hidden-Dashboard1'!I9</f>
        <v>54</v>
      </c>
    </row>
    <row r="17" spans="14:15" ht="15" thickBot="1" x14ac:dyDescent="0.25"/>
    <row r="18" spans="14:15" ht="15" x14ac:dyDescent="0.25">
      <c r="N18" s="241" t="s">
        <v>77</v>
      </c>
      <c r="O18" s="242"/>
    </row>
    <row r="19" spans="14:15" x14ac:dyDescent="0.2">
      <c r="N19" s="93" t="s">
        <v>78</v>
      </c>
      <c r="O19" s="72">
        <f>SUM(O13:O16)</f>
        <v>62</v>
      </c>
    </row>
    <row r="20" spans="14:15" ht="15" thickBot="1" x14ac:dyDescent="0.25">
      <c r="N20" s="94" t="s">
        <v>79</v>
      </c>
      <c r="O20" s="95">
        <f>GETPIVOTDATA("Salary",'Hidden-Dashboard1'!$N$5)</f>
        <v>4660000</v>
      </c>
    </row>
    <row r="21" spans="14:15" ht="15" thickBot="1" x14ac:dyDescent="0.25"/>
    <row r="22" spans="14:15" ht="15" x14ac:dyDescent="0.2">
      <c r="N22" s="239" t="s">
        <v>80</v>
      </c>
      <c r="O22" s="240"/>
    </row>
    <row r="23" spans="14:15" x14ac:dyDescent="0.2">
      <c r="N23" s="71" t="s">
        <v>81</v>
      </c>
      <c r="O23" s="72">
        <f>'Hidden-Dashboard1'!R6</f>
        <v>0</v>
      </c>
    </row>
    <row r="24" spans="14:15" x14ac:dyDescent="0.2">
      <c r="N24" s="73" t="s">
        <v>82</v>
      </c>
      <c r="O24" s="74">
        <f>'Hidden-Dashboard1'!R7</f>
        <v>12</v>
      </c>
    </row>
    <row r="25" spans="14:15" x14ac:dyDescent="0.2">
      <c r="N25" s="73" t="s">
        <v>83</v>
      </c>
      <c r="O25" s="74">
        <f>'Hidden-Dashboard1'!R8</f>
        <v>14</v>
      </c>
    </row>
    <row r="26" spans="14:15" x14ac:dyDescent="0.2">
      <c r="N26" s="73" t="s">
        <v>84</v>
      </c>
      <c r="O26" s="74">
        <f>'Hidden-Dashboard1'!R9</f>
        <v>19</v>
      </c>
    </row>
    <row r="27" spans="14:15" x14ac:dyDescent="0.2">
      <c r="N27" s="73" t="s">
        <v>85</v>
      </c>
      <c r="O27" s="74">
        <f>'Hidden-Dashboard1'!R10</f>
        <v>8</v>
      </c>
    </row>
    <row r="28" spans="14:15" ht="15" thickBot="1" x14ac:dyDescent="0.25">
      <c r="N28" s="75" t="s">
        <v>86</v>
      </c>
      <c r="O28" s="76">
        <f>'Hidden-Dashboard1'!R11</f>
        <v>9</v>
      </c>
    </row>
  </sheetData>
  <mergeCells count="6">
    <mergeCell ref="N22:O22"/>
    <mergeCell ref="N12:O12"/>
    <mergeCell ref="N18:O18"/>
    <mergeCell ref="B2:P2"/>
    <mergeCell ref="B3:P3"/>
    <mergeCell ref="N6:O6"/>
  </mergeCells>
  <conditionalFormatting sqref="O7:O10">
    <cfRule type="dataBar" priority="3">
      <dataBar>
        <cfvo type="min"/>
        <cfvo type="max"/>
        <color rgb="FF638EC6"/>
      </dataBar>
      <extLst>
        <ext xmlns:x14="http://schemas.microsoft.com/office/spreadsheetml/2009/9/main" uri="{B025F937-C7B1-47D3-B67F-A62EFF666E3E}">
          <x14:id>{C10B84C2-0728-4D00-A6A3-22E5203B3CFE}</x14:id>
        </ext>
      </extLst>
    </cfRule>
  </conditionalFormatting>
  <conditionalFormatting sqref="O13:O16">
    <cfRule type="dataBar" priority="2">
      <dataBar>
        <cfvo type="min"/>
        <cfvo type="max"/>
        <color rgb="FF63C384"/>
      </dataBar>
      <extLst>
        <ext xmlns:x14="http://schemas.microsoft.com/office/spreadsheetml/2009/9/main" uri="{B025F937-C7B1-47D3-B67F-A62EFF666E3E}">
          <x14:id>{437B0119-46A4-4F1B-9024-8D4037C61C6B}</x14:id>
        </ext>
      </extLst>
    </cfRule>
  </conditionalFormatting>
  <conditionalFormatting sqref="O23:O28">
    <cfRule type="dataBar" priority="1">
      <dataBar>
        <cfvo type="min"/>
        <cfvo type="max"/>
        <color rgb="FF008AEF"/>
      </dataBar>
      <extLst>
        <ext xmlns:x14="http://schemas.microsoft.com/office/spreadsheetml/2009/9/main" uri="{B025F937-C7B1-47D3-B67F-A62EFF666E3E}">
          <x14:id>{F1837759-806D-4281-97E7-9468777290EB}</x14:id>
        </ext>
      </extLst>
    </cfRule>
  </conditionalFormatting>
  <pageMargins left="0.7" right="0.7" top="0.75" bottom="0.75" header="0.3" footer="0.3"/>
  <pageSetup paperSize="5" scale="94" fitToHeight="0" orientation="landscape" verticalDpi="0" r:id="rId1"/>
  <drawing r:id="rId2"/>
  <extLst>
    <ext xmlns:x14="http://schemas.microsoft.com/office/spreadsheetml/2009/9/main" uri="{78C0D931-6437-407d-A8EE-F0AAD7539E65}">
      <x14:conditionalFormattings>
        <x14:conditionalFormatting xmlns:xm="http://schemas.microsoft.com/office/excel/2006/main">
          <x14:cfRule type="dataBar" id="{C10B84C2-0728-4D00-A6A3-22E5203B3CFE}">
            <x14:dataBar minLength="0" maxLength="100" border="1" negativeBarBorderColorSameAsPositive="0">
              <x14:cfvo type="autoMin"/>
              <x14:cfvo type="autoMax"/>
              <x14:borderColor rgb="FF638EC6"/>
              <x14:negativeFillColor rgb="FFFF0000"/>
              <x14:negativeBorderColor rgb="FFFF0000"/>
              <x14:axisColor rgb="FF000000"/>
            </x14:dataBar>
          </x14:cfRule>
          <xm:sqref>O7:O10</xm:sqref>
        </x14:conditionalFormatting>
        <x14:conditionalFormatting xmlns:xm="http://schemas.microsoft.com/office/excel/2006/main">
          <x14:cfRule type="dataBar" id="{437B0119-46A4-4F1B-9024-8D4037C61C6B}">
            <x14:dataBar minLength="0" maxLength="100" border="1" negativeBarBorderColorSameAsPositive="0">
              <x14:cfvo type="autoMin"/>
              <x14:cfvo type="autoMax"/>
              <x14:borderColor rgb="FF63C384"/>
              <x14:negativeFillColor rgb="FFFF0000"/>
              <x14:negativeBorderColor rgb="FFFF0000"/>
              <x14:axisColor rgb="FF000000"/>
            </x14:dataBar>
          </x14:cfRule>
          <xm:sqref>O13:O16</xm:sqref>
        </x14:conditionalFormatting>
        <x14:conditionalFormatting xmlns:xm="http://schemas.microsoft.com/office/excel/2006/main">
          <x14:cfRule type="dataBar" id="{F1837759-806D-4281-97E7-9468777290EB}">
            <x14:dataBar minLength="0" maxLength="100" border="1" negativeBarBorderColorSameAsPositive="0">
              <x14:cfvo type="autoMin"/>
              <x14:cfvo type="autoMax"/>
              <x14:borderColor rgb="FF008AEF"/>
              <x14:negativeFillColor rgb="FFFF0000"/>
              <x14:negativeBorderColor rgb="FFFF0000"/>
              <x14:axisColor rgb="FF000000"/>
            </x14:dataBar>
          </x14:cfRule>
          <xm:sqref>O23:O28</xm:sqref>
        </x14:conditionalFormatting>
      </x14:conditionalFormattings>
    </ex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H118"/>
  <sheetViews>
    <sheetView showGridLines="0" zoomScaleNormal="100" workbookViewId="0"/>
  </sheetViews>
  <sheetFormatPr defaultColWidth="9" defaultRowHeight="14.25" x14ac:dyDescent="0.2"/>
  <cols>
    <col min="1" max="1" width="2.5" style="15" customWidth="1"/>
    <col min="2" max="2" width="19" style="15" customWidth="1"/>
    <col min="3" max="3" width="17.375" style="15" customWidth="1"/>
    <col min="4" max="4" width="43.125" style="15" customWidth="1"/>
    <col min="5" max="5" width="18.5" style="1" customWidth="1"/>
    <col min="6" max="6" width="18.875" style="1" customWidth="1"/>
    <col min="7" max="7" width="18.125" style="1" customWidth="1"/>
    <col min="8" max="8" width="11.125" style="1" customWidth="1"/>
    <col min="9" max="16384" width="9" style="15"/>
  </cols>
  <sheetData>
    <row r="1" spans="2:8" ht="15" customHeight="1" x14ac:dyDescent="0.2"/>
    <row r="2" spans="2:8" ht="33.75" customHeight="1" x14ac:dyDescent="0.2">
      <c r="B2" s="236" t="s">
        <v>87</v>
      </c>
      <c r="C2" s="236"/>
      <c r="D2" s="236"/>
      <c r="E2" s="236"/>
      <c r="F2" s="236"/>
      <c r="G2" s="236"/>
      <c r="H2" s="236"/>
    </row>
    <row r="3" spans="2:8" ht="140.25" customHeight="1" thickBot="1" x14ac:dyDescent="0.25">
      <c r="B3" s="243" t="s">
        <v>194</v>
      </c>
      <c r="C3" s="243"/>
      <c r="D3" s="243"/>
      <c r="E3" s="243"/>
      <c r="F3" s="243"/>
      <c r="G3" s="243"/>
      <c r="H3" s="243"/>
    </row>
    <row r="4" spans="2:8" s="141" customFormat="1" ht="30.75" customHeight="1" x14ac:dyDescent="0.2">
      <c r="B4" s="166" t="s">
        <v>29</v>
      </c>
      <c r="C4" s="167" t="s">
        <v>88</v>
      </c>
      <c r="D4" s="167" t="s">
        <v>89</v>
      </c>
      <c r="E4" s="168" t="s">
        <v>90</v>
      </c>
      <c r="F4" s="167" t="s">
        <v>91</v>
      </c>
      <c r="G4" s="167" t="s">
        <v>92</v>
      </c>
      <c r="H4" s="169" t="s">
        <v>93</v>
      </c>
    </row>
    <row r="5" spans="2:8" ht="20.100000000000001" customHeight="1" x14ac:dyDescent="0.2">
      <c r="B5" s="204" t="str">
        <f>'3. Setup &amp; Role Data'!G9</f>
        <v>Researcher</v>
      </c>
      <c r="C5" s="188" t="s">
        <v>94</v>
      </c>
      <c r="D5" s="205"/>
      <c r="E5" s="188" t="s">
        <v>95</v>
      </c>
      <c r="F5" s="188" t="s">
        <v>96</v>
      </c>
      <c r="G5" s="188" t="s">
        <v>97</v>
      </c>
      <c r="H5" s="190" t="s">
        <v>98</v>
      </c>
    </row>
    <row r="6" spans="2:8" ht="20.100000000000001" customHeight="1" x14ac:dyDescent="0.2">
      <c r="B6" s="206" t="str">
        <f>'3. Setup &amp; Role Data'!G10</f>
        <v>Sales Acquire</v>
      </c>
      <c r="C6" s="189" t="s">
        <v>98</v>
      </c>
      <c r="D6" s="207" t="s">
        <v>99</v>
      </c>
      <c r="E6" s="189" t="s">
        <v>100</v>
      </c>
      <c r="F6" s="189" t="s">
        <v>97</v>
      </c>
      <c r="G6" s="189" t="s">
        <v>101</v>
      </c>
      <c r="H6" s="191" t="s">
        <v>98</v>
      </c>
    </row>
    <row r="7" spans="2:8" ht="20.100000000000001" customHeight="1" x14ac:dyDescent="0.2">
      <c r="B7" s="206" t="str">
        <f>'3. Setup &amp; Role Data'!G11</f>
        <v>Account Manager</v>
      </c>
      <c r="C7" s="189" t="s">
        <v>98</v>
      </c>
      <c r="D7" s="208" t="s">
        <v>18</v>
      </c>
      <c r="E7" s="189" t="s">
        <v>102</v>
      </c>
      <c r="F7" s="189" t="s">
        <v>103</v>
      </c>
      <c r="G7" s="189" t="s">
        <v>101</v>
      </c>
      <c r="H7" s="191" t="s">
        <v>98</v>
      </c>
    </row>
    <row r="8" spans="2:8" ht="20.100000000000001" customHeight="1" x14ac:dyDescent="0.2">
      <c r="B8" s="206" t="str">
        <f>'3. Setup &amp; Role Data'!G12</f>
        <v>Designers</v>
      </c>
      <c r="C8" s="189" t="s">
        <v>98</v>
      </c>
      <c r="D8" s="207" t="s">
        <v>104</v>
      </c>
      <c r="E8" s="189" t="s">
        <v>102</v>
      </c>
      <c r="F8" s="189" t="s">
        <v>96</v>
      </c>
      <c r="G8" s="189" t="s">
        <v>97</v>
      </c>
      <c r="H8" s="191" t="s">
        <v>94</v>
      </c>
    </row>
    <row r="9" spans="2:8" ht="20.100000000000001" customHeight="1" x14ac:dyDescent="0.2">
      <c r="B9" s="206" t="str">
        <f>'3. Setup &amp; Role Data'!G13</f>
        <v>Marketers</v>
      </c>
      <c r="C9" s="189" t="s">
        <v>94</v>
      </c>
      <c r="D9" s="205"/>
      <c r="E9" s="189" t="s">
        <v>100</v>
      </c>
      <c r="F9" s="189" t="s">
        <v>97</v>
      </c>
      <c r="G9" s="189" t="s">
        <v>101</v>
      </c>
      <c r="H9" s="191" t="s">
        <v>98</v>
      </c>
    </row>
    <row r="10" spans="2:8" ht="20.100000000000001" customHeight="1" x14ac:dyDescent="0.2">
      <c r="B10" s="206" t="str">
        <f>'3. Setup &amp; Role Data'!G14</f>
        <v>HR</v>
      </c>
      <c r="C10" s="189" t="s">
        <v>94</v>
      </c>
      <c r="D10" s="205"/>
      <c r="E10" s="189" t="s">
        <v>100</v>
      </c>
      <c r="F10" s="189" t="s">
        <v>96</v>
      </c>
      <c r="G10" s="189" t="s">
        <v>101</v>
      </c>
      <c r="H10" s="191" t="s">
        <v>94</v>
      </c>
    </row>
    <row r="11" spans="2:8" ht="20.100000000000001" customHeight="1" x14ac:dyDescent="0.2">
      <c r="B11" s="206" t="str">
        <f>'3. Setup &amp; Role Data'!G15</f>
        <v>Maintenance</v>
      </c>
      <c r="C11" s="189" t="s">
        <v>94</v>
      </c>
      <c r="D11" s="205"/>
      <c r="E11" s="189" t="s">
        <v>102</v>
      </c>
      <c r="F11" s="189" t="s">
        <v>103</v>
      </c>
      <c r="G11" s="189" t="s">
        <v>105</v>
      </c>
      <c r="H11" s="191" t="s">
        <v>98</v>
      </c>
    </row>
    <row r="12" spans="2:8" ht="20.100000000000001" customHeight="1" x14ac:dyDescent="0.2">
      <c r="B12" s="206" t="str">
        <f>'3. Setup &amp; Role Data'!G16</f>
        <v>Engineer</v>
      </c>
      <c r="C12" s="189" t="s">
        <v>94</v>
      </c>
      <c r="D12" s="205"/>
      <c r="E12" s="189" t="s">
        <v>95</v>
      </c>
      <c r="F12" s="189" t="s">
        <v>103</v>
      </c>
      <c r="G12" s="189" t="s">
        <v>105</v>
      </c>
      <c r="H12" s="191" t="s">
        <v>94</v>
      </c>
    </row>
    <row r="13" spans="2:8" ht="20.100000000000001" customHeight="1" x14ac:dyDescent="0.2">
      <c r="B13" s="206">
        <f>'3. Setup &amp; Role Data'!G17</f>
        <v>0</v>
      </c>
      <c r="C13" s="64"/>
      <c r="D13" s="205"/>
      <c r="E13" s="64"/>
      <c r="F13" s="64"/>
      <c r="G13" s="64"/>
      <c r="H13" s="65"/>
    </row>
    <row r="14" spans="2:8" ht="20.100000000000001" customHeight="1" x14ac:dyDescent="0.2">
      <c r="B14" s="206">
        <f>'3. Setup &amp; Role Data'!G18</f>
        <v>0</v>
      </c>
      <c r="C14" s="64"/>
      <c r="D14" s="205"/>
      <c r="E14" s="64"/>
      <c r="F14" s="64"/>
      <c r="G14" s="64"/>
      <c r="H14" s="65"/>
    </row>
    <row r="15" spans="2:8" ht="20.100000000000001" customHeight="1" x14ac:dyDescent="0.2">
      <c r="B15" s="206">
        <f>'3. Setup &amp; Role Data'!G19</f>
        <v>0</v>
      </c>
      <c r="C15" s="64"/>
      <c r="D15" s="205"/>
      <c r="E15" s="64"/>
      <c r="F15" s="64"/>
      <c r="G15" s="64"/>
      <c r="H15" s="65"/>
    </row>
    <row r="16" spans="2:8" ht="20.100000000000001" customHeight="1" x14ac:dyDescent="0.2">
      <c r="B16" s="206">
        <f>'3. Setup &amp; Role Data'!G20</f>
        <v>0</v>
      </c>
      <c r="C16" s="64"/>
      <c r="D16" s="205"/>
      <c r="E16" s="64"/>
      <c r="F16" s="64"/>
      <c r="G16" s="64"/>
      <c r="H16" s="65"/>
    </row>
    <row r="17" spans="2:8" ht="20.100000000000001" customHeight="1" x14ac:dyDescent="0.2">
      <c r="B17" s="206">
        <f>'3. Setup &amp; Role Data'!G21</f>
        <v>0</v>
      </c>
      <c r="C17" s="64"/>
      <c r="D17" s="205"/>
      <c r="E17" s="64"/>
      <c r="F17" s="64"/>
      <c r="G17" s="64"/>
      <c r="H17" s="65"/>
    </row>
    <row r="18" spans="2:8" ht="20.100000000000001" customHeight="1" x14ac:dyDescent="0.2">
      <c r="B18" s="206">
        <f>'3. Setup &amp; Role Data'!G22</f>
        <v>0</v>
      </c>
      <c r="C18" s="64"/>
      <c r="D18" s="205"/>
      <c r="E18" s="64"/>
      <c r="F18" s="64"/>
      <c r="G18" s="64"/>
      <c r="H18" s="65"/>
    </row>
    <row r="19" spans="2:8" ht="20.100000000000001" customHeight="1" x14ac:dyDescent="0.2">
      <c r="B19" s="206">
        <f>'3. Setup &amp; Role Data'!G23</f>
        <v>0</v>
      </c>
      <c r="C19" s="64"/>
      <c r="D19" s="205"/>
      <c r="E19" s="64"/>
      <c r="F19" s="64"/>
      <c r="G19" s="64"/>
      <c r="H19" s="65"/>
    </row>
    <row r="20" spans="2:8" ht="20.100000000000001" customHeight="1" x14ac:dyDescent="0.2">
      <c r="B20" s="206">
        <f>'3. Setup &amp; Role Data'!G24</f>
        <v>0</v>
      </c>
      <c r="C20" s="64"/>
      <c r="D20" s="205"/>
      <c r="E20" s="64"/>
      <c r="F20" s="64"/>
      <c r="G20" s="64"/>
      <c r="H20" s="65"/>
    </row>
    <row r="21" spans="2:8" ht="20.100000000000001" customHeight="1" x14ac:dyDescent="0.2">
      <c r="B21" s="206">
        <f>'3. Setup &amp; Role Data'!G25</f>
        <v>0</v>
      </c>
      <c r="C21" s="64"/>
      <c r="D21" s="205"/>
      <c r="E21" s="64"/>
      <c r="F21" s="64"/>
      <c r="G21" s="64"/>
      <c r="H21" s="65"/>
    </row>
    <row r="22" spans="2:8" ht="20.100000000000001" customHeight="1" x14ac:dyDescent="0.2">
      <c r="B22" s="206">
        <f>'3. Setup &amp; Role Data'!G26</f>
        <v>0</v>
      </c>
      <c r="C22" s="64"/>
      <c r="D22" s="205"/>
      <c r="E22" s="64"/>
      <c r="F22" s="64"/>
      <c r="G22" s="64"/>
      <c r="H22" s="65"/>
    </row>
    <row r="23" spans="2:8" ht="20.100000000000001" customHeight="1" x14ac:dyDescent="0.2">
      <c r="B23" s="206">
        <f>'3. Setup &amp; Role Data'!G27</f>
        <v>0</v>
      </c>
      <c r="C23" s="64"/>
      <c r="D23" s="205"/>
      <c r="E23" s="64"/>
      <c r="F23" s="64"/>
      <c r="G23" s="64"/>
      <c r="H23" s="65"/>
    </row>
    <row r="24" spans="2:8" ht="20.100000000000001" customHeight="1" x14ac:dyDescent="0.2">
      <c r="B24" s="206">
        <f>'3. Setup &amp; Role Data'!G28</f>
        <v>0</v>
      </c>
      <c r="C24" s="64"/>
      <c r="D24" s="205"/>
      <c r="E24" s="64"/>
      <c r="F24" s="64"/>
      <c r="G24" s="64"/>
      <c r="H24" s="65"/>
    </row>
    <row r="25" spans="2:8" ht="20.100000000000001" customHeight="1" x14ac:dyDescent="0.2">
      <c r="B25" s="206">
        <f>'3. Setup &amp; Role Data'!G29</f>
        <v>0</v>
      </c>
      <c r="C25" s="64"/>
      <c r="D25" s="205"/>
      <c r="E25" s="64"/>
      <c r="F25" s="64"/>
      <c r="G25" s="64"/>
      <c r="H25" s="65"/>
    </row>
    <row r="26" spans="2:8" ht="20.100000000000001" customHeight="1" x14ac:dyDescent="0.2">
      <c r="B26" s="206">
        <f>'3. Setup &amp; Role Data'!G30</f>
        <v>0</v>
      </c>
      <c r="C26" s="64"/>
      <c r="D26" s="205"/>
      <c r="E26" s="64"/>
      <c r="F26" s="64"/>
      <c r="G26" s="64"/>
      <c r="H26" s="65"/>
    </row>
    <row r="27" spans="2:8" ht="20.100000000000001" customHeight="1" x14ac:dyDescent="0.2">
      <c r="B27" s="206">
        <f>'3. Setup &amp; Role Data'!G31</f>
        <v>0</v>
      </c>
      <c r="C27" s="64"/>
      <c r="D27" s="205"/>
      <c r="E27" s="64"/>
      <c r="F27" s="64"/>
      <c r="G27" s="64"/>
      <c r="H27" s="65"/>
    </row>
    <row r="28" spans="2:8" ht="20.100000000000001" customHeight="1" x14ac:dyDescent="0.2">
      <c r="B28" s="206">
        <f>'3. Setup &amp; Role Data'!G32</f>
        <v>0</v>
      </c>
      <c r="C28" s="64"/>
      <c r="D28" s="205"/>
      <c r="E28" s="64"/>
      <c r="F28" s="64"/>
      <c r="G28" s="64"/>
      <c r="H28" s="65"/>
    </row>
    <row r="29" spans="2:8" ht="20.100000000000001" customHeight="1" x14ac:dyDescent="0.2">
      <c r="B29" s="206">
        <f>'3. Setup &amp; Role Data'!G33</f>
        <v>0</v>
      </c>
      <c r="C29" s="64"/>
      <c r="D29" s="205"/>
      <c r="E29" s="64"/>
      <c r="F29" s="64"/>
      <c r="G29" s="64"/>
      <c r="H29" s="65"/>
    </row>
    <row r="30" spans="2:8" ht="20.100000000000001" customHeight="1" x14ac:dyDescent="0.2">
      <c r="B30" s="206">
        <f>'3. Setup &amp; Role Data'!G34</f>
        <v>0</v>
      </c>
      <c r="C30" s="64"/>
      <c r="D30" s="205"/>
      <c r="E30" s="64"/>
      <c r="F30" s="64"/>
      <c r="G30" s="64"/>
      <c r="H30" s="65"/>
    </row>
    <row r="31" spans="2:8" ht="20.100000000000001" customHeight="1" x14ac:dyDescent="0.2">
      <c r="B31" s="206">
        <f>'3. Setup &amp; Role Data'!G35</f>
        <v>0</v>
      </c>
      <c r="C31" s="64"/>
      <c r="D31" s="205"/>
      <c r="E31" s="64"/>
      <c r="F31" s="64"/>
      <c r="G31" s="64"/>
      <c r="H31" s="65"/>
    </row>
    <row r="32" spans="2:8" ht="20.100000000000001" customHeight="1" x14ac:dyDescent="0.2">
      <c r="B32" s="206">
        <f>'3. Setup &amp; Role Data'!G36</f>
        <v>0</v>
      </c>
      <c r="C32" s="64"/>
      <c r="D32" s="205"/>
      <c r="E32" s="64"/>
      <c r="F32" s="64"/>
      <c r="G32" s="64"/>
      <c r="H32" s="65"/>
    </row>
    <row r="33" spans="2:8" ht="20.100000000000001" customHeight="1" x14ac:dyDescent="0.2">
      <c r="B33" s="206">
        <f>'3. Setup &amp; Role Data'!G37</f>
        <v>0</v>
      </c>
      <c r="C33" s="64"/>
      <c r="D33" s="205"/>
      <c r="E33" s="64"/>
      <c r="F33" s="64"/>
      <c r="G33" s="64"/>
      <c r="H33" s="65"/>
    </row>
    <row r="34" spans="2:8" ht="20.100000000000001" customHeight="1" x14ac:dyDescent="0.2">
      <c r="B34" s="206">
        <f>'3. Setup &amp; Role Data'!G38</f>
        <v>0</v>
      </c>
      <c r="C34" s="64"/>
      <c r="D34" s="205"/>
      <c r="E34" s="64"/>
      <c r="F34" s="64"/>
      <c r="G34" s="64"/>
      <c r="H34" s="65"/>
    </row>
    <row r="35" spans="2:8" ht="20.100000000000001" customHeight="1" x14ac:dyDescent="0.2">
      <c r="B35" s="206">
        <f>'3. Setup &amp; Role Data'!G39</f>
        <v>0</v>
      </c>
      <c r="C35" s="64"/>
      <c r="D35" s="205"/>
      <c r="E35" s="64"/>
      <c r="F35" s="64"/>
      <c r="G35" s="64"/>
      <c r="H35" s="65"/>
    </row>
    <row r="36" spans="2:8" ht="20.100000000000001" customHeight="1" x14ac:dyDescent="0.2">
      <c r="B36" s="206">
        <f>'3. Setup &amp; Role Data'!G40</f>
        <v>0</v>
      </c>
      <c r="C36" s="64"/>
      <c r="D36" s="205"/>
      <c r="E36" s="64"/>
      <c r="F36" s="64"/>
      <c r="G36" s="64"/>
      <c r="H36" s="65"/>
    </row>
    <row r="37" spans="2:8" ht="20.100000000000001" customHeight="1" x14ac:dyDescent="0.2">
      <c r="B37" s="206">
        <f>'3. Setup &amp; Role Data'!G41</f>
        <v>0</v>
      </c>
      <c r="C37" s="64"/>
      <c r="D37" s="205"/>
      <c r="E37" s="64"/>
      <c r="F37" s="64"/>
      <c r="G37" s="64"/>
      <c r="H37" s="65"/>
    </row>
    <row r="38" spans="2:8" ht="20.100000000000001" customHeight="1" x14ac:dyDescent="0.2">
      <c r="B38" s="206">
        <f>'3. Setup &amp; Role Data'!G42</f>
        <v>0</v>
      </c>
      <c r="C38" s="64"/>
      <c r="D38" s="205"/>
      <c r="E38" s="64"/>
      <c r="F38" s="64"/>
      <c r="G38" s="64"/>
      <c r="H38" s="65"/>
    </row>
    <row r="39" spans="2:8" ht="20.100000000000001" customHeight="1" x14ac:dyDescent="0.2">
      <c r="B39" s="206">
        <f>'3. Setup &amp; Role Data'!G43</f>
        <v>0</v>
      </c>
      <c r="C39" s="64"/>
      <c r="D39" s="205"/>
      <c r="E39" s="64"/>
      <c r="F39" s="64"/>
      <c r="G39" s="64"/>
      <c r="H39" s="65"/>
    </row>
    <row r="40" spans="2:8" ht="20.100000000000001" customHeight="1" x14ac:dyDescent="0.2">
      <c r="B40" s="206">
        <f>'3. Setup &amp; Role Data'!G44</f>
        <v>0</v>
      </c>
      <c r="C40" s="64"/>
      <c r="D40" s="205"/>
      <c r="E40" s="64"/>
      <c r="F40" s="64"/>
      <c r="G40" s="64"/>
      <c r="H40" s="65"/>
    </row>
    <row r="41" spans="2:8" ht="20.100000000000001" customHeight="1" x14ac:dyDescent="0.2">
      <c r="B41" s="206">
        <f>'3. Setup &amp; Role Data'!G45</f>
        <v>0</v>
      </c>
      <c r="C41" s="64"/>
      <c r="D41" s="205"/>
      <c r="E41" s="64"/>
      <c r="F41" s="64"/>
      <c r="G41" s="64"/>
      <c r="H41" s="65"/>
    </row>
    <row r="42" spans="2:8" ht="20.100000000000001" customHeight="1" x14ac:dyDescent="0.2">
      <c r="B42" s="206">
        <f>'3. Setup &amp; Role Data'!G46</f>
        <v>0</v>
      </c>
      <c r="C42" s="64"/>
      <c r="D42" s="205"/>
      <c r="E42" s="64"/>
      <c r="F42" s="64"/>
      <c r="G42" s="64"/>
      <c r="H42" s="65"/>
    </row>
    <row r="43" spans="2:8" ht="20.100000000000001" customHeight="1" x14ac:dyDescent="0.2">
      <c r="B43" s="206">
        <f>'3. Setup &amp; Role Data'!G47</f>
        <v>0</v>
      </c>
      <c r="C43" s="64"/>
      <c r="D43" s="205"/>
      <c r="E43" s="64"/>
      <c r="F43" s="64"/>
      <c r="G43" s="64"/>
      <c r="H43" s="65"/>
    </row>
    <row r="44" spans="2:8" ht="20.100000000000001" customHeight="1" x14ac:dyDescent="0.2">
      <c r="B44" s="206">
        <f>'3. Setup &amp; Role Data'!G48</f>
        <v>0</v>
      </c>
      <c r="C44" s="64"/>
      <c r="D44" s="205"/>
      <c r="E44" s="64"/>
      <c r="F44" s="64"/>
      <c r="G44" s="64"/>
      <c r="H44" s="65"/>
    </row>
    <row r="45" spans="2:8" ht="20.100000000000001" customHeight="1" x14ac:dyDescent="0.2">
      <c r="B45" s="206">
        <f>'3. Setup &amp; Role Data'!G49</f>
        <v>0</v>
      </c>
      <c r="C45" s="64"/>
      <c r="D45" s="205"/>
      <c r="E45" s="64"/>
      <c r="F45" s="64"/>
      <c r="G45" s="64"/>
      <c r="H45" s="65"/>
    </row>
    <row r="46" spans="2:8" ht="20.100000000000001" customHeight="1" x14ac:dyDescent="0.2">
      <c r="B46" s="206">
        <f>'3. Setup &amp; Role Data'!G50</f>
        <v>0</v>
      </c>
      <c r="C46" s="64"/>
      <c r="D46" s="205"/>
      <c r="E46" s="64"/>
      <c r="F46" s="64"/>
      <c r="G46" s="64"/>
      <c r="H46" s="65"/>
    </row>
    <row r="47" spans="2:8" ht="20.100000000000001" customHeight="1" x14ac:dyDescent="0.2">
      <c r="B47" s="206">
        <f>'3. Setup &amp; Role Data'!G51</f>
        <v>0</v>
      </c>
      <c r="C47" s="64"/>
      <c r="D47" s="205"/>
      <c r="E47" s="64"/>
      <c r="F47" s="64"/>
      <c r="G47" s="64"/>
      <c r="H47" s="65"/>
    </row>
    <row r="48" spans="2:8" ht="20.100000000000001" customHeight="1" x14ac:dyDescent="0.2">
      <c r="B48" s="206">
        <f>'3. Setup &amp; Role Data'!G52</f>
        <v>0</v>
      </c>
      <c r="C48" s="64"/>
      <c r="D48" s="205"/>
      <c r="E48" s="64"/>
      <c r="F48" s="64"/>
      <c r="G48" s="64"/>
      <c r="H48" s="65"/>
    </row>
    <row r="49" spans="2:8" ht="20.100000000000001" customHeight="1" x14ac:dyDescent="0.2">
      <c r="B49" s="206">
        <f>'3. Setup &amp; Role Data'!G53</f>
        <v>0</v>
      </c>
      <c r="C49" s="64"/>
      <c r="D49" s="205"/>
      <c r="E49" s="64"/>
      <c r="F49" s="64"/>
      <c r="G49" s="64"/>
      <c r="H49" s="65"/>
    </row>
    <row r="50" spans="2:8" ht="20.100000000000001" customHeight="1" x14ac:dyDescent="0.2">
      <c r="B50" s="206">
        <f>'3. Setup &amp; Role Data'!G54</f>
        <v>0</v>
      </c>
      <c r="C50" s="64"/>
      <c r="D50" s="205"/>
      <c r="E50" s="64"/>
      <c r="F50" s="64"/>
      <c r="G50" s="64"/>
      <c r="H50" s="65"/>
    </row>
    <row r="51" spans="2:8" ht="20.100000000000001" customHeight="1" x14ac:dyDescent="0.2">
      <c r="B51" s="206">
        <f>'3. Setup &amp; Role Data'!G55</f>
        <v>0</v>
      </c>
      <c r="C51" s="64"/>
      <c r="D51" s="205"/>
      <c r="E51" s="64"/>
      <c r="F51" s="64"/>
      <c r="G51" s="64"/>
      <c r="H51" s="65"/>
    </row>
    <row r="52" spans="2:8" ht="20.100000000000001" customHeight="1" x14ac:dyDescent="0.2">
      <c r="B52" s="206">
        <f>'3. Setup &amp; Role Data'!G56</f>
        <v>0</v>
      </c>
      <c r="C52" s="64"/>
      <c r="D52" s="205"/>
      <c r="E52" s="64"/>
      <c r="F52" s="64"/>
      <c r="G52" s="64"/>
      <c r="H52" s="65"/>
    </row>
    <row r="53" spans="2:8" ht="20.100000000000001" customHeight="1" x14ac:dyDescent="0.2">
      <c r="B53" s="206">
        <f>'3. Setup &amp; Role Data'!G57</f>
        <v>0</v>
      </c>
      <c r="C53" s="64"/>
      <c r="D53" s="205"/>
      <c r="E53" s="64"/>
      <c r="F53" s="64"/>
      <c r="G53" s="64"/>
      <c r="H53" s="65"/>
    </row>
    <row r="54" spans="2:8" ht="20.100000000000001" customHeight="1" x14ac:dyDescent="0.2">
      <c r="B54" s="206">
        <f>'3. Setup &amp; Role Data'!G58</f>
        <v>0</v>
      </c>
      <c r="C54" s="64"/>
      <c r="D54" s="205"/>
      <c r="E54" s="64"/>
      <c r="F54" s="64"/>
      <c r="G54" s="64"/>
      <c r="H54" s="65"/>
    </row>
    <row r="55" spans="2:8" ht="20.100000000000001" customHeight="1" x14ac:dyDescent="0.2">
      <c r="B55" s="206">
        <f>'3. Setup &amp; Role Data'!G59</f>
        <v>0</v>
      </c>
      <c r="C55" s="64"/>
      <c r="D55" s="205"/>
      <c r="E55" s="64"/>
      <c r="F55" s="64"/>
      <c r="G55" s="64"/>
      <c r="H55" s="65"/>
    </row>
    <row r="56" spans="2:8" ht="20.100000000000001" customHeight="1" x14ac:dyDescent="0.2">
      <c r="B56" s="206">
        <f>'3. Setup &amp; Role Data'!G60</f>
        <v>0</v>
      </c>
      <c r="C56" s="64"/>
      <c r="D56" s="205"/>
      <c r="E56" s="64"/>
      <c r="F56" s="64"/>
      <c r="G56" s="64"/>
      <c r="H56" s="65"/>
    </row>
    <row r="57" spans="2:8" ht="20.100000000000001" customHeight="1" x14ac:dyDescent="0.2">
      <c r="B57" s="206">
        <f>'3. Setup &amp; Role Data'!G61</f>
        <v>0</v>
      </c>
      <c r="C57" s="64"/>
      <c r="D57" s="205"/>
      <c r="E57" s="64"/>
      <c r="F57" s="64"/>
      <c r="G57" s="64"/>
      <c r="H57" s="65"/>
    </row>
    <row r="58" spans="2:8" ht="20.100000000000001" customHeight="1" x14ac:dyDescent="0.2">
      <c r="B58" s="206">
        <f>'3. Setup &amp; Role Data'!G62</f>
        <v>0</v>
      </c>
      <c r="C58" s="64"/>
      <c r="D58" s="205"/>
      <c r="E58" s="64"/>
      <c r="F58" s="64"/>
      <c r="G58" s="64"/>
      <c r="H58" s="65"/>
    </row>
    <row r="59" spans="2:8" ht="20.100000000000001" customHeight="1" x14ac:dyDescent="0.2">
      <c r="B59" s="206">
        <f>'3. Setup &amp; Role Data'!G63</f>
        <v>0</v>
      </c>
      <c r="C59" s="64"/>
      <c r="D59" s="205"/>
      <c r="E59" s="64"/>
      <c r="F59" s="64"/>
      <c r="G59" s="64"/>
      <c r="H59" s="65"/>
    </row>
    <row r="60" spans="2:8" ht="20.100000000000001" customHeight="1" x14ac:dyDescent="0.2">
      <c r="B60" s="206">
        <f>'3. Setup &amp; Role Data'!G64</f>
        <v>0</v>
      </c>
      <c r="C60" s="64"/>
      <c r="D60" s="205"/>
      <c r="E60" s="64"/>
      <c r="F60" s="64"/>
      <c r="G60" s="64"/>
      <c r="H60" s="65"/>
    </row>
    <row r="61" spans="2:8" ht="20.100000000000001" customHeight="1" x14ac:dyDescent="0.2">
      <c r="B61" s="206">
        <f>'3. Setup &amp; Role Data'!G65</f>
        <v>0</v>
      </c>
      <c r="C61" s="64"/>
      <c r="D61" s="205"/>
      <c r="E61" s="64"/>
      <c r="F61" s="64"/>
      <c r="G61" s="64"/>
      <c r="H61" s="65"/>
    </row>
    <row r="62" spans="2:8" ht="20.100000000000001" customHeight="1" x14ac:dyDescent="0.2">
      <c r="B62" s="206">
        <f>'3. Setup &amp; Role Data'!G66</f>
        <v>0</v>
      </c>
      <c r="C62" s="64"/>
      <c r="D62" s="205"/>
      <c r="E62" s="64"/>
      <c r="F62" s="64"/>
      <c r="G62" s="64"/>
      <c r="H62" s="65"/>
    </row>
    <row r="63" spans="2:8" ht="20.100000000000001" customHeight="1" x14ac:dyDescent="0.2">
      <c r="B63" s="206">
        <f>'3. Setup &amp; Role Data'!G67</f>
        <v>0</v>
      </c>
      <c r="C63" s="64"/>
      <c r="D63" s="205"/>
      <c r="E63" s="64"/>
      <c r="F63" s="64"/>
      <c r="G63" s="64"/>
      <c r="H63" s="65"/>
    </row>
    <row r="64" spans="2:8" ht="20.100000000000001" customHeight="1" x14ac:dyDescent="0.2">
      <c r="B64" s="206">
        <f>'3. Setup &amp; Role Data'!G68</f>
        <v>0</v>
      </c>
      <c r="C64" s="64"/>
      <c r="D64" s="205"/>
      <c r="E64" s="64"/>
      <c r="F64" s="64"/>
      <c r="G64" s="64"/>
      <c r="H64" s="65"/>
    </row>
    <row r="65" spans="2:8" ht="20.100000000000001" customHeight="1" x14ac:dyDescent="0.2">
      <c r="B65" s="206">
        <f>'3. Setup &amp; Role Data'!G69</f>
        <v>0</v>
      </c>
      <c r="C65" s="64"/>
      <c r="D65" s="205"/>
      <c r="E65" s="64"/>
      <c r="F65" s="64"/>
      <c r="G65" s="64"/>
      <c r="H65" s="65"/>
    </row>
    <row r="66" spans="2:8" ht="20.100000000000001" customHeight="1" x14ac:dyDescent="0.2">
      <c r="B66" s="206">
        <f>'3. Setup &amp; Role Data'!G70</f>
        <v>0</v>
      </c>
      <c r="C66" s="64"/>
      <c r="D66" s="205"/>
      <c r="E66" s="64"/>
      <c r="F66" s="64"/>
      <c r="G66" s="64"/>
      <c r="H66" s="65"/>
    </row>
    <row r="67" spans="2:8" ht="20.100000000000001" customHeight="1" x14ac:dyDescent="0.2">
      <c r="B67" s="206">
        <f>'3. Setup &amp; Role Data'!G71</f>
        <v>0</v>
      </c>
      <c r="C67" s="64"/>
      <c r="D67" s="205"/>
      <c r="E67" s="64"/>
      <c r="F67" s="64"/>
      <c r="G67" s="64"/>
      <c r="H67" s="65"/>
    </row>
    <row r="68" spans="2:8" ht="20.100000000000001" customHeight="1" x14ac:dyDescent="0.2">
      <c r="B68" s="206">
        <f>'3. Setup &amp; Role Data'!G72</f>
        <v>0</v>
      </c>
      <c r="C68" s="64"/>
      <c r="D68" s="205"/>
      <c r="E68" s="64"/>
      <c r="F68" s="64"/>
      <c r="G68" s="64"/>
      <c r="H68" s="65"/>
    </row>
    <row r="69" spans="2:8" ht="20.100000000000001" customHeight="1" x14ac:dyDescent="0.2">
      <c r="B69" s="206">
        <f>'3. Setup &amp; Role Data'!G73</f>
        <v>0</v>
      </c>
      <c r="C69" s="64"/>
      <c r="D69" s="205"/>
      <c r="E69" s="64"/>
      <c r="F69" s="64"/>
      <c r="G69" s="64"/>
      <c r="H69" s="65"/>
    </row>
    <row r="70" spans="2:8" ht="20.100000000000001" customHeight="1" x14ac:dyDescent="0.2">
      <c r="B70" s="206">
        <f>'3. Setup &amp; Role Data'!G74</f>
        <v>0</v>
      </c>
      <c r="C70" s="64"/>
      <c r="D70" s="205"/>
      <c r="E70" s="64"/>
      <c r="F70" s="64"/>
      <c r="G70" s="64"/>
      <c r="H70" s="65"/>
    </row>
    <row r="71" spans="2:8" ht="20.100000000000001" customHeight="1" x14ac:dyDescent="0.2">
      <c r="B71" s="206">
        <f>'3. Setup &amp; Role Data'!G75</f>
        <v>0</v>
      </c>
      <c r="C71" s="64"/>
      <c r="D71" s="205"/>
      <c r="E71" s="64"/>
      <c r="F71" s="64"/>
      <c r="G71" s="64"/>
      <c r="H71" s="65"/>
    </row>
    <row r="72" spans="2:8" ht="20.100000000000001" customHeight="1" x14ac:dyDescent="0.2">
      <c r="B72" s="206">
        <f>'3. Setup &amp; Role Data'!G76</f>
        <v>0</v>
      </c>
      <c r="C72" s="64"/>
      <c r="D72" s="205"/>
      <c r="E72" s="64"/>
      <c r="F72" s="64"/>
      <c r="G72" s="64"/>
      <c r="H72" s="65"/>
    </row>
    <row r="73" spans="2:8" ht="20.100000000000001" customHeight="1" x14ac:dyDescent="0.2">
      <c r="B73" s="206">
        <f>'3. Setup &amp; Role Data'!G77</f>
        <v>0</v>
      </c>
      <c r="C73" s="64"/>
      <c r="D73" s="205"/>
      <c r="E73" s="64"/>
      <c r="F73" s="64"/>
      <c r="G73" s="64"/>
      <c r="H73" s="65"/>
    </row>
    <row r="74" spans="2:8" ht="20.100000000000001" customHeight="1" x14ac:dyDescent="0.2">
      <c r="B74" s="206">
        <f>'3. Setup &amp; Role Data'!G78</f>
        <v>0</v>
      </c>
      <c r="C74" s="64"/>
      <c r="D74" s="205"/>
      <c r="E74" s="64"/>
      <c r="F74" s="64"/>
      <c r="G74" s="64"/>
      <c r="H74" s="65"/>
    </row>
    <row r="75" spans="2:8" ht="20.100000000000001" customHeight="1" x14ac:dyDescent="0.2">
      <c r="B75" s="206">
        <f>'3. Setup &amp; Role Data'!G79</f>
        <v>0</v>
      </c>
      <c r="C75" s="64"/>
      <c r="D75" s="205"/>
      <c r="E75" s="64"/>
      <c r="F75" s="64"/>
      <c r="G75" s="64"/>
      <c r="H75" s="65"/>
    </row>
    <row r="76" spans="2:8" ht="20.100000000000001" customHeight="1" x14ac:dyDescent="0.2">
      <c r="B76" s="206">
        <f>'3. Setup &amp; Role Data'!G80</f>
        <v>0</v>
      </c>
      <c r="C76" s="64"/>
      <c r="D76" s="205"/>
      <c r="E76" s="64"/>
      <c r="F76" s="64"/>
      <c r="G76" s="64"/>
      <c r="H76" s="65"/>
    </row>
    <row r="77" spans="2:8" ht="20.100000000000001" customHeight="1" x14ac:dyDescent="0.2">
      <c r="B77" s="206">
        <f>'3. Setup &amp; Role Data'!G81</f>
        <v>0</v>
      </c>
      <c r="C77" s="64"/>
      <c r="D77" s="205"/>
      <c r="E77" s="64"/>
      <c r="F77" s="64"/>
      <c r="G77" s="64"/>
      <c r="H77" s="65"/>
    </row>
    <row r="78" spans="2:8" ht="20.100000000000001" customHeight="1" x14ac:dyDescent="0.2">
      <c r="B78" s="206">
        <f>'3. Setup &amp; Role Data'!G82</f>
        <v>0</v>
      </c>
      <c r="C78" s="64"/>
      <c r="D78" s="205"/>
      <c r="E78" s="64"/>
      <c r="F78" s="64"/>
      <c r="G78" s="64"/>
      <c r="H78" s="65"/>
    </row>
    <row r="79" spans="2:8" ht="20.100000000000001" customHeight="1" x14ac:dyDescent="0.2">
      <c r="B79" s="206">
        <f>'3. Setup &amp; Role Data'!G83</f>
        <v>0</v>
      </c>
      <c r="C79" s="64"/>
      <c r="D79" s="205"/>
      <c r="E79" s="64"/>
      <c r="F79" s="64"/>
      <c r="G79" s="64"/>
      <c r="H79" s="65"/>
    </row>
    <row r="80" spans="2:8" ht="20.100000000000001" customHeight="1" x14ac:dyDescent="0.2">
      <c r="B80" s="206">
        <f>'3. Setup &amp; Role Data'!G84</f>
        <v>0</v>
      </c>
      <c r="C80" s="64"/>
      <c r="D80" s="205"/>
      <c r="E80" s="64"/>
      <c r="F80" s="64"/>
      <c r="G80" s="64"/>
      <c r="H80" s="65"/>
    </row>
    <row r="81" spans="2:8" ht="20.100000000000001" customHeight="1" x14ac:dyDescent="0.2">
      <c r="B81" s="206">
        <f>'3. Setup &amp; Role Data'!G85</f>
        <v>0</v>
      </c>
      <c r="C81" s="64"/>
      <c r="D81" s="205"/>
      <c r="E81" s="64"/>
      <c r="F81" s="64"/>
      <c r="G81" s="64"/>
      <c r="H81" s="65"/>
    </row>
    <row r="82" spans="2:8" ht="20.100000000000001" customHeight="1" x14ac:dyDescent="0.2">
      <c r="B82" s="206">
        <f>'3. Setup &amp; Role Data'!G86</f>
        <v>0</v>
      </c>
      <c r="C82" s="64"/>
      <c r="D82" s="205"/>
      <c r="E82" s="64"/>
      <c r="F82" s="64"/>
      <c r="G82" s="64"/>
      <c r="H82" s="65"/>
    </row>
    <row r="83" spans="2:8" ht="20.100000000000001" customHeight="1" x14ac:dyDescent="0.2">
      <c r="B83" s="206">
        <f>'3. Setup &amp; Role Data'!G87</f>
        <v>0</v>
      </c>
      <c r="C83" s="64"/>
      <c r="D83" s="205"/>
      <c r="E83" s="64"/>
      <c r="F83" s="64"/>
      <c r="G83" s="64"/>
      <c r="H83" s="65"/>
    </row>
    <row r="84" spans="2:8" ht="20.100000000000001" customHeight="1" x14ac:dyDescent="0.2">
      <c r="B84" s="206">
        <f>'3. Setup &amp; Role Data'!G88</f>
        <v>0</v>
      </c>
      <c r="C84" s="64"/>
      <c r="D84" s="205"/>
      <c r="E84" s="64"/>
      <c r="F84" s="64"/>
      <c r="G84" s="64"/>
      <c r="H84" s="65"/>
    </row>
    <row r="85" spans="2:8" ht="20.100000000000001" customHeight="1" x14ac:dyDescent="0.2">
      <c r="B85" s="206">
        <f>'3. Setup &amp; Role Data'!G89</f>
        <v>0</v>
      </c>
      <c r="C85" s="64"/>
      <c r="D85" s="205"/>
      <c r="E85" s="64"/>
      <c r="F85" s="64"/>
      <c r="G85" s="64"/>
      <c r="H85" s="65"/>
    </row>
    <row r="86" spans="2:8" ht="20.100000000000001" customHeight="1" x14ac:dyDescent="0.2">
      <c r="B86" s="206">
        <f>'3. Setup &amp; Role Data'!G90</f>
        <v>0</v>
      </c>
      <c r="C86" s="64"/>
      <c r="D86" s="205"/>
      <c r="E86" s="64"/>
      <c r="F86" s="64"/>
      <c r="G86" s="64"/>
      <c r="H86" s="65"/>
    </row>
    <row r="87" spans="2:8" ht="20.100000000000001" customHeight="1" x14ac:dyDescent="0.2">
      <c r="B87" s="206">
        <f>'3. Setup &amp; Role Data'!G91</f>
        <v>0</v>
      </c>
      <c r="C87" s="64"/>
      <c r="D87" s="205"/>
      <c r="E87" s="64"/>
      <c r="F87" s="64"/>
      <c r="G87" s="64"/>
      <c r="H87" s="65"/>
    </row>
    <row r="88" spans="2:8" ht="20.100000000000001" customHeight="1" x14ac:dyDescent="0.2">
      <c r="B88" s="206">
        <f>'3. Setup &amp; Role Data'!G92</f>
        <v>0</v>
      </c>
      <c r="C88" s="64"/>
      <c r="D88" s="205"/>
      <c r="E88" s="64"/>
      <c r="F88" s="64"/>
      <c r="G88" s="64"/>
      <c r="H88" s="65"/>
    </row>
    <row r="89" spans="2:8" ht="20.100000000000001" customHeight="1" x14ac:dyDescent="0.2">
      <c r="B89" s="206">
        <f>'3. Setup &amp; Role Data'!G93</f>
        <v>0</v>
      </c>
      <c r="C89" s="64"/>
      <c r="D89" s="205"/>
      <c r="E89" s="64"/>
      <c r="F89" s="64"/>
      <c r="G89" s="64"/>
      <c r="H89" s="65"/>
    </row>
    <row r="90" spans="2:8" ht="20.100000000000001" customHeight="1" x14ac:dyDescent="0.2">
      <c r="B90" s="206">
        <f>'3. Setup &amp; Role Data'!G94</f>
        <v>0</v>
      </c>
      <c r="C90" s="64"/>
      <c r="D90" s="205"/>
      <c r="E90" s="64"/>
      <c r="F90" s="64"/>
      <c r="G90" s="64"/>
      <c r="H90" s="65"/>
    </row>
    <row r="91" spans="2:8" ht="20.100000000000001" customHeight="1" x14ac:dyDescent="0.2">
      <c r="B91" s="206">
        <f>'3. Setup &amp; Role Data'!G95</f>
        <v>0</v>
      </c>
      <c r="C91" s="64"/>
      <c r="D91" s="205"/>
      <c r="E91" s="64"/>
      <c r="F91" s="64"/>
      <c r="G91" s="64"/>
      <c r="H91" s="65"/>
    </row>
    <row r="92" spans="2:8" ht="20.100000000000001" customHeight="1" x14ac:dyDescent="0.2">
      <c r="B92" s="206">
        <f>'3. Setup &amp; Role Data'!G96</f>
        <v>0</v>
      </c>
      <c r="C92" s="64"/>
      <c r="D92" s="205"/>
      <c r="E92" s="64"/>
      <c r="F92" s="64"/>
      <c r="G92" s="64"/>
      <c r="H92" s="65"/>
    </row>
    <row r="93" spans="2:8" ht="20.100000000000001" customHeight="1" x14ac:dyDescent="0.2">
      <c r="B93" s="206">
        <f>'3. Setup &amp; Role Data'!G97</f>
        <v>0</v>
      </c>
      <c r="C93" s="64"/>
      <c r="D93" s="205"/>
      <c r="E93" s="64"/>
      <c r="F93" s="64"/>
      <c r="G93" s="64"/>
      <c r="H93" s="65"/>
    </row>
    <row r="94" spans="2:8" ht="20.100000000000001" customHeight="1" x14ac:dyDescent="0.2">
      <c r="B94" s="206">
        <f>'3. Setup &amp; Role Data'!G98</f>
        <v>0</v>
      </c>
      <c r="C94" s="64"/>
      <c r="D94" s="205"/>
      <c r="E94" s="64"/>
      <c r="F94" s="64"/>
      <c r="G94" s="64"/>
      <c r="H94" s="65"/>
    </row>
    <row r="95" spans="2:8" ht="20.100000000000001" customHeight="1" x14ac:dyDescent="0.2">
      <c r="B95" s="206">
        <f>'3. Setup &amp; Role Data'!G99</f>
        <v>0</v>
      </c>
      <c r="C95" s="64"/>
      <c r="D95" s="205"/>
      <c r="E95" s="64"/>
      <c r="F95" s="64"/>
      <c r="G95" s="64"/>
      <c r="H95" s="65"/>
    </row>
    <row r="96" spans="2:8" ht="20.100000000000001" customHeight="1" x14ac:dyDescent="0.2">
      <c r="B96" s="206">
        <f>'3. Setup &amp; Role Data'!G100</f>
        <v>0</v>
      </c>
      <c r="C96" s="64"/>
      <c r="D96" s="205"/>
      <c r="E96" s="64"/>
      <c r="F96" s="64"/>
      <c r="G96" s="64"/>
      <c r="H96" s="65"/>
    </row>
    <row r="97" spans="2:8" ht="20.100000000000001" customHeight="1" x14ac:dyDescent="0.2">
      <c r="B97" s="206">
        <f>'3. Setup &amp; Role Data'!G101</f>
        <v>0</v>
      </c>
      <c r="C97" s="64"/>
      <c r="D97" s="205"/>
      <c r="E97" s="64"/>
      <c r="F97" s="64"/>
      <c r="G97" s="64"/>
      <c r="H97" s="65"/>
    </row>
    <row r="98" spans="2:8" ht="20.100000000000001" customHeight="1" x14ac:dyDescent="0.2">
      <c r="B98" s="206">
        <f>'3. Setup &amp; Role Data'!G102</f>
        <v>0</v>
      </c>
      <c r="C98" s="64"/>
      <c r="D98" s="205"/>
      <c r="E98" s="64"/>
      <c r="F98" s="64"/>
      <c r="G98" s="64"/>
      <c r="H98" s="65"/>
    </row>
    <row r="99" spans="2:8" ht="20.100000000000001" customHeight="1" x14ac:dyDescent="0.2">
      <c r="B99" s="206">
        <f>'3. Setup &amp; Role Data'!G103</f>
        <v>0</v>
      </c>
      <c r="C99" s="64"/>
      <c r="D99" s="205"/>
      <c r="E99" s="64"/>
      <c r="F99" s="64"/>
      <c r="G99" s="64"/>
      <c r="H99" s="65"/>
    </row>
    <row r="100" spans="2:8" ht="20.100000000000001" customHeight="1" x14ac:dyDescent="0.2">
      <c r="B100" s="206">
        <f>'3. Setup &amp; Role Data'!G104</f>
        <v>0</v>
      </c>
      <c r="C100" s="64"/>
      <c r="D100" s="205"/>
      <c r="E100" s="64"/>
      <c r="F100" s="64"/>
      <c r="G100" s="64"/>
      <c r="H100" s="65"/>
    </row>
    <row r="101" spans="2:8" ht="20.100000000000001" customHeight="1" x14ac:dyDescent="0.2">
      <c r="B101" s="206">
        <f>'3. Setup &amp; Role Data'!G105</f>
        <v>0</v>
      </c>
      <c r="C101" s="64"/>
      <c r="D101" s="205"/>
      <c r="E101" s="64"/>
      <c r="F101" s="64"/>
      <c r="G101" s="64"/>
      <c r="H101" s="65"/>
    </row>
    <row r="102" spans="2:8" ht="20.100000000000001" customHeight="1" x14ac:dyDescent="0.2">
      <c r="B102" s="206">
        <f>'3. Setup &amp; Role Data'!G106</f>
        <v>0</v>
      </c>
      <c r="C102" s="64"/>
      <c r="D102" s="205"/>
      <c r="E102" s="64"/>
      <c r="F102" s="64"/>
      <c r="G102" s="64"/>
      <c r="H102" s="65"/>
    </row>
    <row r="103" spans="2:8" ht="20.100000000000001" customHeight="1" x14ac:dyDescent="0.2">
      <c r="B103" s="206">
        <f>'3. Setup &amp; Role Data'!G107</f>
        <v>0</v>
      </c>
      <c r="C103" s="64"/>
      <c r="D103" s="205"/>
      <c r="E103" s="64"/>
      <c r="F103" s="64"/>
      <c r="G103" s="64"/>
      <c r="H103" s="65"/>
    </row>
    <row r="104" spans="2:8" ht="20.100000000000001" customHeight="1" thickBot="1" x14ac:dyDescent="0.25">
      <c r="B104" s="209">
        <f>'3. Setup &amp; Role Data'!G108</f>
        <v>0</v>
      </c>
      <c r="C104" s="66"/>
      <c r="D104" s="210"/>
      <c r="E104" s="66"/>
      <c r="F104" s="66"/>
      <c r="G104" s="66"/>
      <c r="H104" s="67"/>
    </row>
    <row r="105" spans="2:8" x14ac:dyDescent="0.2">
      <c r="B105" s="211"/>
      <c r="C105" s="212"/>
      <c r="D105" s="212"/>
    </row>
    <row r="106" spans="2:8" x14ac:dyDescent="0.2">
      <c r="B106" s="212"/>
      <c r="C106" s="212"/>
      <c r="D106" s="212"/>
    </row>
    <row r="107" spans="2:8" x14ac:dyDescent="0.2">
      <c r="B107" s="212"/>
      <c r="C107" s="212"/>
      <c r="D107" s="212"/>
    </row>
    <row r="108" spans="2:8" x14ac:dyDescent="0.2">
      <c r="B108" s="212"/>
      <c r="C108" s="212"/>
      <c r="D108" s="212"/>
    </row>
    <row r="109" spans="2:8" x14ac:dyDescent="0.2">
      <c r="B109" s="212"/>
      <c r="C109" s="212"/>
      <c r="D109" s="212"/>
    </row>
    <row r="110" spans="2:8" x14ac:dyDescent="0.2">
      <c r="B110" s="212"/>
      <c r="C110" s="212"/>
      <c r="D110" s="212"/>
    </row>
    <row r="111" spans="2:8" x14ac:dyDescent="0.2">
      <c r="B111" s="212"/>
      <c r="C111" s="212"/>
      <c r="D111" s="212"/>
    </row>
    <row r="112" spans="2:8" x14ac:dyDescent="0.2">
      <c r="B112" s="212"/>
      <c r="C112" s="212"/>
      <c r="D112" s="212"/>
    </row>
    <row r="113" spans="2:4" x14ac:dyDescent="0.2">
      <c r="B113" s="212"/>
      <c r="C113" s="212"/>
      <c r="D113" s="212"/>
    </row>
    <row r="114" spans="2:4" x14ac:dyDescent="0.2">
      <c r="B114" s="212"/>
      <c r="C114" s="212"/>
      <c r="D114" s="212"/>
    </row>
    <row r="115" spans="2:4" x14ac:dyDescent="0.2">
      <c r="B115" s="212"/>
      <c r="C115" s="212"/>
      <c r="D115" s="212"/>
    </row>
    <row r="116" spans="2:4" x14ac:dyDescent="0.2">
      <c r="B116" s="212"/>
      <c r="C116" s="212"/>
      <c r="D116" s="212"/>
    </row>
    <row r="117" spans="2:4" x14ac:dyDescent="0.2">
      <c r="B117" s="212"/>
      <c r="C117" s="212"/>
      <c r="D117" s="212"/>
    </row>
    <row r="118" spans="2:4" x14ac:dyDescent="0.2">
      <c r="B118" s="212"/>
      <c r="C118" s="212"/>
      <c r="D118" s="212"/>
    </row>
  </sheetData>
  <mergeCells count="2">
    <mergeCell ref="B3:H3"/>
    <mergeCell ref="B2:H2"/>
  </mergeCells>
  <conditionalFormatting sqref="D5:D104">
    <cfRule type="expression" dxfId="127" priority="1">
      <formula>$C5="No"</formula>
    </cfRule>
  </conditionalFormatting>
  <dataValidations count="4">
    <dataValidation type="list" allowBlank="1" showInputMessage="1" showErrorMessage="1" sqref="G5:G104" xr:uid="{00000000-0002-0000-0500-000000000000}">
      <formula1>change</formula1>
    </dataValidation>
    <dataValidation type="list" allowBlank="1" showInputMessage="1" showErrorMessage="1" sqref="E5:E104" xr:uid="{00000000-0002-0000-0500-000001000000}">
      <formula1>roleclass</formula1>
    </dataValidation>
    <dataValidation type="list" allowBlank="1" showInputMessage="1" showErrorMessage="1" sqref="C5:C104 H5:H104" xr:uid="{00000000-0002-0000-0500-000002000000}">
      <formula1>Answer</formula1>
    </dataValidation>
    <dataValidation type="list" allowBlank="1" showInputMessage="1" showErrorMessage="1" sqref="F5:F104" xr:uid="{00000000-0002-0000-0500-000003000000}">
      <formula1>change2</formula1>
    </dataValidation>
  </dataValidations>
  <pageMargins left="0.7" right="0.7" top="0.75" bottom="0.75" header="0.3" footer="0.3"/>
  <pageSetup paperSize="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V110"/>
  <sheetViews>
    <sheetView showGridLines="0" zoomScaleNormal="100" workbookViewId="0"/>
  </sheetViews>
  <sheetFormatPr defaultColWidth="9" defaultRowHeight="12.75" x14ac:dyDescent="0.2"/>
  <cols>
    <col min="1" max="1" width="2.5" style="1" customWidth="1"/>
    <col min="2" max="2" width="13.375" style="1" customWidth="1"/>
    <col min="3" max="3" width="9.5" style="1" customWidth="1"/>
    <col min="4" max="4" width="7" style="1" customWidth="1"/>
    <col min="5" max="5" width="10.5" style="1" customWidth="1"/>
    <col min="6" max="6" width="7.25" style="1" customWidth="1"/>
    <col min="7" max="9" width="7.625" style="1" customWidth="1"/>
    <col min="10" max="10" width="3.375" style="1" customWidth="1"/>
    <col min="11" max="19" width="7.625" style="1" customWidth="1"/>
    <col min="20" max="22" width="10.625" style="1" customWidth="1"/>
    <col min="23" max="16384" width="9" style="1"/>
  </cols>
  <sheetData>
    <row r="1" spans="2:22" ht="15" customHeight="1" x14ac:dyDescent="0.2"/>
    <row r="2" spans="2:22" ht="33.75" customHeight="1" x14ac:dyDescent="0.2">
      <c r="B2" s="213" t="s">
        <v>106</v>
      </c>
      <c r="C2" s="213"/>
      <c r="D2" s="213"/>
      <c r="E2" s="213"/>
      <c r="F2" s="213"/>
      <c r="G2" s="213"/>
      <c r="H2" s="213"/>
      <c r="I2" s="213"/>
      <c r="J2" s="213"/>
      <c r="K2" s="213"/>
      <c r="L2" s="213"/>
      <c r="M2" s="213"/>
      <c r="N2" s="213"/>
      <c r="O2" s="213"/>
      <c r="P2" s="213"/>
      <c r="Q2" s="213"/>
      <c r="R2" s="213"/>
      <c r="S2" s="213"/>
      <c r="T2" s="213"/>
      <c r="U2" s="213"/>
      <c r="V2" s="213"/>
    </row>
    <row r="3" spans="2:22" ht="200.25" customHeight="1" x14ac:dyDescent="0.2">
      <c r="B3" s="237" t="s">
        <v>107</v>
      </c>
      <c r="C3" s="244"/>
      <c r="D3" s="244"/>
      <c r="E3" s="244"/>
      <c r="F3" s="244"/>
      <c r="G3" s="244"/>
      <c r="H3" s="244"/>
      <c r="I3" s="244"/>
      <c r="J3" s="244"/>
      <c r="K3" s="244"/>
      <c r="L3" s="244"/>
      <c r="M3" s="244"/>
      <c r="N3" s="244"/>
      <c r="O3" s="244"/>
      <c r="P3" s="244"/>
      <c r="Q3" s="244"/>
      <c r="R3" s="244"/>
      <c r="S3" s="244"/>
      <c r="T3" s="244"/>
      <c r="U3" s="244"/>
      <c r="V3" s="244"/>
    </row>
    <row r="4" spans="2:22" ht="20.25" customHeight="1" x14ac:dyDescent="0.2">
      <c r="C4" s="26"/>
      <c r="D4" s="26"/>
    </row>
    <row r="5" spans="2:22" ht="12" customHeight="1" thickBot="1" x14ac:dyDescent="0.25">
      <c r="C5" s="2"/>
      <c r="D5" s="2"/>
      <c r="J5" s="245"/>
      <c r="K5" s="245"/>
      <c r="L5" s="245"/>
      <c r="M5" s="5"/>
    </row>
    <row r="6" spans="2:22" ht="30" customHeight="1" thickBot="1" x14ac:dyDescent="0.25">
      <c r="B6" s="62" t="s">
        <v>108</v>
      </c>
      <c r="C6" s="63">
        <v>0.2</v>
      </c>
      <c r="D6" s="68"/>
    </row>
    <row r="7" spans="2:22" ht="30" customHeight="1" thickBot="1" x14ac:dyDescent="0.25">
      <c r="C7" s="32"/>
      <c r="D7" s="32"/>
    </row>
    <row r="8" spans="2:22" ht="30.75" customHeight="1" x14ac:dyDescent="0.2">
      <c r="B8" s="233" t="s">
        <v>109</v>
      </c>
      <c r="C8" s="231"/>
      <c r="D8" s="231"/>
      <c r="E8" s="231"/>
      <c r="F8" s="234"/>
      <c r="G8" s="230" t="s">
        <v>110</v>
      </c>
      <c r="H8" s="231"/>
      <c r="I8" s="231"/>
      <c r="J8" s="234"/>
      <c r="K8" s="246" t="s">
        <v>111</v>
      </c>
      <c r="L8" s="247"/>
      <c r="M8" s="248"/>
      <c r="N8" s="230" t="s">
        <v>112</v>
      </c>
      <c r="O8" s="231"/>
      <c r="P8" s="234"/>
      <c r="Q8" s="246" t="s">
        <v>113</v>
      </c>
      <c r="R8" s="247"/>
      <c r="S8" s="248"/>
      <c r="T8" s="231" t="s">
        <v>114</v>
      </c>
      <c r="U8" s="231"/>
      <c r="V8" s="249"/>
    </row>
    <row r="9" spans="2:22" ht="30.75" customHeight="1" x14ac:dyDescent="0.2">
      <c r="B9" s="60" t="s">
        <v>29</v>
      </c>
      <c r="C9" s="49" t="s">
        <v>115</v>
      </c>
      <c r="D9" s="69" t="s">
        <v>116</v>
      </c>
      <c r="E9" s="49" t="s">
        <v>117</v>
      </c>
      <c r="F9" s="50" t="s">
        <v>118</v>
      </c>
      <c r="G9" s="48" t="s">
        <v>119</v>
      </c>
      <c r="H9" s="51" t="s">
        <v>120</v>
      </c>
      <c r="I9" s="51" t="s">
        <v>121</v>
      </c>
      <c r="J9" s="52"/>
      <c r="K9" s="48" t="s">
        <v>119</v>
      </c>
      <c r="L9" s="51" t="s">
        <v>120</v>
      </c>
      <c r="M9" s="52" t="s">
        <v>121</v>
      </c>
      <c r="N9" s="48" t="s">
        <v>119</v>
      </c>
      <c r="O9" s="51" t="s">
        <v>120</v>
      </c>
      <c r="P9" s="52" t="s">
        <v>121</v>
      </c>
      <c r="Q9" s="48" t="s">
        <v>119</v>
      </c>
      <c r="R9" s="51" t="s">
        <v>120</v>
      </c>
      <c r="S9" s="52" t="s">
        <v>121</v>
      </c>
      <c r="T9" s="51" t="s">
        <v>119</v>
      </c>
      <c r="U9" s="51" t="s">
        <v>120</v>
      </c>
      <c r="V9" s="61" t="s">
        <v>121</v>
      </c>
    </row>
    <row r="10" spans="2:22" ht="20.100000000000001" customHeight="1" x14ac:dyDescent="0.2">
      <c r="B10" s="41" t="str">
        <f ca="1">'Hidden-Forecast Calculations'!E3</f>
        <v>Researcher</v>
      </c>
      <c r="C10" s="33">
        <f ca="1">IF(B10="","",COUNTIF(EmployeeTable[Role],B10))</f>
        <v>6</v>
      </c>
      <c r="D10" s="70">
        <f ca="1">IF(COUNTIF(EmployeeTable[Role],B10)=0,"",COUNTIFS(EmployeeTable[Role],B10,EmployeeTable[Over 55],1)/COUNTIF(EmployeeTable[Role],B10))</f>
        <v>0.16666666666666666</v>
      </c>
      <c r="E10" s="33">
        <f ca="1">IF(B10="","",'Hidden-Forecast Calculations'!G3)</f>
        <v>8.0000000000000016E-2</v>
      </c>
      <c r="F10" s="192">
        <v>0.02</v>
      </c>
      <c r="G10" s="56">
        <f ca="1">IF(B10="","",MROUND(C10*(1+$C$6),0.5))</f>
        <v>7</v>
      </c>
      <c r="H10" s="57">
        <f ca="1">IF(B10="","",MROUND(G10*(1+$C$6),0.5))</f>
        <v>8.5</v>
      </c>
      <c r="I10" s="33">
        <f ca="1">IF(B10="","",MROUND(H10*(1+$C$6),0.5))</f>
        <v>10</v>
      </c>
      <c r="J10" s="34">
        <f ca="1">IF(B10="","",'Hidden-Forecast Calculations'!L3)</f>
        <v>0</v>
      </c>
      <c r="K10" s="194">
        <v>10</v>
      </c>
      <c r="L10" s="195">
        <v>12</v>
      </c>
      <c r="M10" s="195">
        <v>12</v>
      </c>
      <c r="N10" s="56">
        <f ca="1">IF(B10="","",MROUND(C10-(C10*$E10),0.5))</f>
        <v>5.5</v>
      </c>
      <c r="O10" s="33">
        <f ca="1">IF(B10="","",MROUND(N10-(N10*$E10),0.5))</f>
        <v>5</v>
      </c>
      <c r="P10" s="33">
        <f ca="1">IF(B10="","",MROUND(O10-(O10*$E10),0.5))</f>
        <v>4.5</v>
      </c>
      <c r="Q10" s="194">
        <v>8</v>
      </c>
      <c r="R10" s="195">
        <v>7.5</v>
      </c>
      <c r="S10" s="198">
        <v>7</v>
      </c>
      <c r="T10" s="35">
        <f ca="1">'Hidden-Forecast Calculations'!R3</f>
        <v>816000</v>
      </c>
      <c r="U10" s="35">
        <f ca="1">'Hidden-Forecast Calculations'!S3</f>
        <v>999000</v>
      </c>
      <c r="V10" s="200">
        <f ca="1">'Hidden-Forecast Calculations'!T3</f>
        <v>1019000</v>
      </c>
    </row>
    <row r="11" spans="2:22" ht="20.100000000000001" customHeight="1" x14ac:dyDescent="0.2">
      <c r="B11" s="42" t="str">
        <f ca="1">'Hidden-Forecast Calculations'!E4</f>
        <v>Sales Acquire</v>
      </c>
      <c r="C11" s="36">
        <f ca="1">IF(B11="","",COUNTIF(EmployeeTable[Role],B11))</f>
        <v>0</v>
      </c>
      <c r="D11" s="70" t="str">
        <f ca="1">IF(COUNTIF(EmployeeTable[Role],B11)=0,"",COUNTIFS(EmployeeTable[Role],B11,EmployeeTable[Over 55],1)/COUNTIF(EmployeeTable[Role],B11))</f>
        <v/>
      </c>
      <c r="E11" s="36">
        <f ca="1">IF(B11="","",'Hidden-Forecast Calculations'!G4)</f>
        <v>0.11000000000000001</v>
      </c>
      <c r="F11" s="193">
        <v>0.02</v>
      </c>
      <c r="G11" s="58">
        <f t="shared" ref="G11:G74" ca="1" si="0">IF(B11="","",MROUND(C11*(1+$C$6),0.5))</f>
        <v>0</v>
      </c>
      <c r="H11" s="36">
        <f t="shared" ref="H11:H74" ca="1" si="1">IF(B11="","",MROUND(G11*(1+$C$6),0.5))</f>
        <v>0</v>
      </c>
      <c r="I11" s="36">
        <f t="shared" ref="I11:I74" ca="1" si="2">IF(B11="","",MROUND(H11*(1+$C$6),0.5))</f>
        <v>0</v>
      </c>
      <c r="J11" s="38">
        <f ca="1">IF(B11="","",'Hidden-Forecast Calculations'!L4)</f>
        <v>-1</v>
      </c>
      <c r="K11" s="196">
        <v>11</v>
      </c>
      <c r="L11" s="197">
        <v>9</v>
      </c>
      <c r="M11" s="197">
        <v>8</v>
      </c>
      <c r="N11" s="58">
        <f t="shared" ref="N11:N74" ca="1" si="3">IF(B11="","",MROUND(C11-(C11*$E11),0.5))</f>
        <v>0</v>
      </c>
      <c r="O11" s="36">
        <f t="shared" ref="O11:O74" ca="1" si="4">IF(B11="","",MROUND(N11-(N11*$E11),0.5))</f>
        <v>0</v>
      </c>
      <c r="P11" s="36">
        <f t="shared" ref="P11:P74" ca="1" si="5">IF(B11="","",MROUND(O11-(O11*$E11),0.5))</f>
        <v>0</v>
      </c>
      <c r="Q11" s="196">
        <v>9.5</v>
      </c>
      <c r="R11" s="197">
        <v>7.5</v>
      </c>
      <c r="S11" s="199">
        <v>6</v>
      </c>
      <c r="T11" s="35">
        <f ca="1">'Hidden-Forecast Calculations'!R4</f>
        <v>449000</v>
      </c>
      <c r="U11" s="35">
        <f ca="1">'Hidden-Forecast Calculations'!S4</f>
        <v>375000</v>
      </c>
      <c r="V11" s="200">
        <f ca="1">'Hidden-Forecast Calculations'!T4</f>
        <v>340000</v>
      </c>
    </row>
    <row r="12" spans="2:22" ht="20.100000000000001" customHeight="1" x14ac:dyDescent="0.2">
      <c r="B12" s="42" t="str">
        <f ca="1">'Hidden-Forecast Calculations'!E5</f>
        <v>Account Manager</v>
      </c>
      <c r="C12" s="36">
        <f ca="1">IF(B12="","",COUNTIF(EmployeeTable[Role],B12))</f>
        <v>27</v>
      </c>
      <c r="D12" s="70">
        <f ca="1">IF(COUNTIF(EmployeeTable[Role],B12)=0,"",COUNTIFS(EmployeeTable[Role],B12,EmployeeTable[Over 55],1)/COUNTIF(EmployeeTable[Role],B12))</f>
        <v>0.37037037037037035</v>
      </c>
      <c r="E12" s="36">
        <f ca="1">IF(B12="","",'Hidden-Forecast Calculations'!G5)</f>
        <v>0.08</v>
      </c>
      <c r="F12" s="193">
        <v>0.02</v>
      </c>
      <c r="G12" s="58">
        <f t="shared" ca="1" si="0"/>
        <v>32.5</v>
      </c>
      <c r="H12" s="36">
        <f t="shared" ca="1" si="1"/>
        <v>39</v>
      </c>
      <c r="I12" s="36">
        <f t="shared" ca="1" si="2"/>
        <v>47</v>
      </c>
      <c r="J12" s="38">
        <f ca="1">IF(B12="","",'Hidden-Forecast Calculations'!L5)</f>
        <v>-1</v>
      </c>
      <c r="K12" s="196">
        <v>15</v>
      </c>
      <c r="L12" s="197">
        <v>16</v>
      </c>
      <c r="M12" s="197">
        <v>18</v>
      </c>
      <c r="N12" s="58">
        <f t="shared" ca="1" si="3"/>
        <v>25</v>
      </c>
      <c r="O12" s="36">
        <f t="shared" ca="1" si="4"/>
        <v>23</v>
      </c>
      <c r="P12" s="36">
        <f t="shared" ca="1" si="5"/>
        <v>21</v>
      </c>
      <c r="Q12" s="196">
        <v>11</v>
      </c>
      <c r="R12" s="197">
        <v>9</v>
      </c>
      <c r="S12" s="199">
        <v>7</v>
      </c>
      <c r="T12" s="35">
        <f ca="1">'Hidden-Forecast Calculations'!R5</f>
        <v>918000</v>
      </c>
      <c r="U12" s="35">
        <f ca="1">'Hidden-Forecast Calculations'!S5</f>
        <v>999000</v>
      </c>
      <c r="V12" s="200">
        <f ca="1">'Hidden-Forecast Calculations'!T5</f>
        <v>1146000</v>
      </c>
    </row>
    <row r="13" spans="2:22" ht="20.100000000000001" customHeight="1" x14ac:dyDescent="0.2">
      <c r="B13" s="42" t="str">
        <f ca="1">'Hidden-Forecast Calculations'!E6</f>
        <v>Marketers</v>
      </c>
      <c r="C13" s="36">
        <f ca="1">IF(B13="","",COUNTIF(EmployeeTable[Role],B13))</f>
        <v>14</v>
      </c>
      <c r="D13" s="70">
        <f ca="1">IF(COUNTIF(EmployeeTable[Role],B13)=0,"",COUNTIFS(EmployeeTable[Role],B13,EmployeeTable[Over 55],1)/COUNTIF(EmployeeTable[Role],B13))</f>
        <v>0.2857142857142857</v>
      </c>
      <c r="E13" s="36">
        <f ca="1">IF(B13="","",'Hidden-Forecast Calculations'!G6)</f>
        <v>0.08</v>
      </c>
      <c r="F13" s="193">
        <v>0.02</v>
      </c>
      <c r="G13" s="58">
        <f t="shared" ca="1" si="0"/>
        <v>17</v>
      </c>
      <c r="H13" s="36">
        <f t="shared" ca="1" si="1"/>
        <v>20.5</v>
      </c>
      <c r="I13" s="36">
        <f t="shared" ca="1" si="2"/>
        <v>24.5</v>
      </c>
      <c r="J13" s="38">
        <f ca="1">IF(B13="","",'Hidden-Forecast Calculations'!L6)</f>
        <v>-1</v>
      </c>
      <c r="K13" s="196">
        <v>10</v>
      </c>
      <c r="L13" s="197">
        <v>10</v>
      </c>
      <c r="M13" s="197">
        <v>9</v>
      </c>
      <c r="N13" s="58">
        <f t="shared" ca="1" si="3"/>
        <v>13</v>
      </c>
      <c r="O13" s="36">
        <f t="shared" ca="1" si="4"/>
        <v>12</v>
      </c>
      <c r="P13" s="36">
        <f t="shared" ca="1" si="5"/>
        <v>11</v>
      </c>
      <c r="Q13" s="196">
        <v>15</v>
      </c>
      <c r="R13" s="197">
        <v>15</v>
      </c>
      <c r="S13" s="199">
        <v>14</v>
      </c>
      <c r="T13" s="35">
        <f ca="1">'Hidden-Forecast Calculations'!R6</f>
        <v>816000</v>
      </c>
      <c r="U13" s="35">
        <f ca="1">'Hidden-Forecast Calculations'!S6</f>
        <v>832000</v>
      </c>
      <c r="V13" s="200">
        <f ca="1">'Hidden-Forecast Calculations'!T6</f>
        <v>764000</v>
      </c>
    </row>
    <row r="14" spans="2:22" ht="20.100000000000001" customHeight="1" x14ac:dyDescent="0.2">
      <c r="B14" s="42" t="str">
        <f ca="1">'Hidden-Forecast Calculations'!E7</f>
        <v>Maintenance</v>
      </c>
      <c r="C14" s="36">
        <f ca="1">IF(B14="","",COUNTIF(EmployeeTable[Role],B14))</f>
        <v>1</v>
      </c>
      <c r="D14" s="70">
        <f ca="1">IF(COUNTIF(EmployeeTable[Role],B14)=0,"",COUNTIFS(EmployeeTable[Role],B14,EmployeeTable[Over 55],1)/COUNTIF(EmployeeTable[Role],B14))</f>
        <v>0</v>
      </c>
      <c r="E14" s="36">
        <f ca="1">IF(B14="","",'Hidden-Forecast Calculations'!G7)</f>
        <v>0.17</v>
      </c>
      <c r="F14" s="193">
        <v>0.02</v>
      </c>
      <c r="G14" s="58">
        <f t="shared" ca="1" si="0"/>
        <v>1</v>
      </c>
      <c r="H14" s="36">
        <f t="shared" ca="1" si="1"/>
        <v>1</v>
      </c>
      <c r="I14" s="36">
        <f t="shared" ca="1" si="2"/>
        <v>1</v>
      </c>
      <c r="J14" s="38">
        <f ca="1">IF(B14="","",'Hidden-Forecast Calculations'!L7)</f>
        <v>1</v>
      </c>
      <c r="K14" s="196">
        <v>2</v>
      </c>
      <c r="L14" s="197">
        <v>5</v>
      </c>
      <c r="M14" s="197">
        <v>10</v>
      </c>
      <c r="N14" s="58">
        <f t="shared" ca="1" si="3"/>
        <v>1</v>
      </c>
      <c r="O14" s="36">
        <f t="shared" ca="1" si="4"/>
        <v>1</v>
      </c>
      <c r="P14" s="36">
        <f t="shared" ca="1" si="5"/>
        <v>1</v>
      </c>
      <c r="Q14" s="196">
        <v>0</v>
      </c>
      <c r="R14" s="197">
        <v>0</v>
      </c>
      <c r="S14" s="199">
        <v>0</v>
      </c>
      <c r="T14" s="35">
        <f ca="1">'Hidden-Forecast Calculations'!R7</f>
        <v>306000</v>
      </c>
      <c r="U14" s="35">
        <f ca="1">'Hidden-Forecast Calculations'!S7</f>
        <v>780000</v>
      </c>
      <c r="V14" s="200">
        <f ca="1">'Hidden-Forecast Calculations'!T7</f>
        <v>1592000</v>
      </c>
    </row>
    <row r="15" spans="2:22" ht="20.100000000000001" customHeight="1" x14ac:dyDescent="0.2">
      <c r="B15" s="42" t="str">
        <f ca="1">'Hidden-Forecast Calculations'!E8</f>
        <v/>
      </c>
      <c r="C15" s="36" t="str">
        <f ca="1">IF(B15="","",COUNTIF(EmployeeTable[Role],B15))</f>
        <v/>
      </c>
      <c r="D15" s="70" t="str">
        <f ca="1">IF(COUNTIF(EmployeeTable[Role],B15)=0,"",COUNTIFS(EmployeeTable[Role],B15,EmployeeTable[Over 55],1)/COUNTIF(EmployeeTable[Role],B15))</f>
        <v/>
      </c>
      <c r="E15" s="36" t="str">
        <f ca="1">IF(B15="","",'Hidden-Forecast Calculations'!G8)</f>
        <v/>
      </c>
      <c r="F15" s="37"/>
      <c r="G15" s="58" t="str">
        <f t="shared" ca="1" si="0"/>
        <v/>
      </c>
      <c r="H15" s="36" t="str">
        <f t="shared" ca="1" si="1"/>
        <v/>
      </c>
      <c r="I15" s="36" t="str">
        <f t="shared" ca="1" si="2"/>
        <v/>
      </c>
      <c r="J15" s="38" t="str">
        <f ca="1">IF(B15="","",'Hidden-Forecast Calculations'!L8)</f>
        <v/>
      </c>
      <c r="K15" s="53"/>
      <c r="L15" s="39"/>
      <c r="M15" s="39"/>
      <c r="N15" s="58" t="str">
        <f t="shared" ca="1" si="3"/>
        <v/>
      </c>
      <c r="O15" s="36" t="str">
        <f t="shared" ca="1" si="4"/>
        <v/>
      </c>
      <c r="P15" s="36" t="str">
        <f t="shared" ca="1" si="5"/>
        <v/>
      </c>
      <c r="Q15" s="53"/>
      <c r="R15" s="39"/>
      <c r="S15" s="97"/>
      <c r="T15" s="35" t="str">
        <f ca="1">'Hidden-Forecast Calculations'!R8</f>
        <v/>
      </c>
      <c r="U15" s="35" t="str">
        <f ca="1">'Hidden-Forecast Calculations'!S8</f>
        <v/>
      </c>
      <c r="V15" s="200" t="str">
        <f ca="1">'Hidden-Forecast Calculations'!T8</f>
        <v/>
      </c>
    </row>
    <row r="16" spans="2:22" ht="20.100000000000001" customHeight="1" x14ac:dyDescent="0.2">
      <c r="B16" s="42" t="str">
        <f ca="1">'Hidden-Forecast Calculations'!E9</f>
        <v/>
      </c>
      <c r="C16" s="36" t="str">
        <f ca="1">IF(B16="","",COUNTIF(EmployeeTable[Role],B16))</f>
        <v/>
      </c>
      <c r="D16" s="70" t="str">
        <f ca="1">IF(COUNTIF(EmployeeTable[Role],B16)=0,"",COUNTIFS(EmployeeTable[Role],B16,EmployeeTable[Over 55],1)/COUNTIF(EmployeeTable[Role],B16))</f>
        <v/>
      </c>
      <c r="E16" s="36" t="str">
        <f ca="1">IF(B16="","",'Hidden-Forecast Calculations'!G9)</f>
        <v/>
      </c>
      <c r="F16" s="37"/>
      <c r="G16" s="58" t="str">
        <f t="shared" ca="1" si="0"/>
        <v/>
      </c>
      <c r="H16" s="36" t="str">
        <f t="shared" ca="1" si="1"/>
        <v/>
      </c>
      <c r="I16" s="36" t="str">
        <f t="shared" ca="1" si="2"/>
        <v/>
      </c>
      <c r="J16" s="38" t="str">
        <f ca="1">IF(B16="","",'Hidden-Forecast Calculations'!L9)</f>
        <v/>
      </c>
      <c r="K16" s="53"/>
      <c r="L16" s="39"/>
      <c r="M16" s="39"/>
      <c r="N16" s="58" t="str">
        <f t="shared" ca="1" si="3"/>
        <v/>
      </c>
      <c r="O16" s="36" t="str">
        <f t="shared" ca="1" si="4"/>
        <v/>
      </c>
      <c r="P16" s="36" t="str">
        <f t="shared" ca="1" si="5"/>
        <v/>
      </c>
      <c r="Q16" s="53"/>
      <c r="R16" s="39"/>
      <c r="S16" s="97"/>
      <c r="T16" s="35" t="str">
        <f ca="1">'Hidden-Forecast Calculations'!R9</f>
        <v/>
      </c>
      <c r="U16" s="35" t="str">
        <f ca="1">'Hidden-Forecast Calculations'!S9</f>
        <v/>
      </c>
      <c r="V16" s="200" t="str">
        <f ca="1">'Hidden-Forecast Calculations'!T9</f>
        <v/>
      </c>
    </row>
    <row r="17" spans="2:22" ht="20.100000000000001" customHeight="1" x14ac:dyDescent="0.2">
      <c r="B17" s="42" t="str">
        <f ca="1">'Hidden-Forecast Calculations'!E10</f>
        <v/>
      </c>
      <c r="C17" s="36" t="str">
        <f ca="1">IF(B17="","",COUNTIF(EmployeeTable[Role],B17))</f>
        <v/>
      </c>
      <c r="D17" s="70" t="str">
        <f ca="1">IF(COUNTIF(EmployeeTable[Role],B17)=0,"",COUNTIFS(EmployeeTable[Role],B17,EmployeeTable[Over 55],1)/COUNTIF(EmployeeTable[Role],B17))</f>
        <v/>
      </c>
      <c r="E17" s="36" t="str">
        <f ca="1">IF(B17="","",'Hidden-Forecast Calculations'!G10)</f>
        <v/>
      </c>
      <c r="F17" s="37"/>
      <c r="G17" s="58" t="str">
        <f t="shared" ca="1" si="0"/>
        <v/>
      </c>
      <c r="H17" s="36" t="str">
        <f t="shared" ca="1" si="1"/>
        <v/>
      </c>
      <c r="I17" s="36" t="str">
        <f t="shared" ca="1" si="2"/>
        <v/>
      </c>
      <c r="J17" s="38" t="str">
        <f ca="1">IF(B17="","",'Hidden-Forecast Calculations'!L10)</f>
        <v/>
      </c>
      <c r="K17" s="53"/>
      <c r="L17" s="39"/>
      <c r="M17" s="39"/>
      <c r="N17" s="58" t="str">
        <f t="shared" ca="1" si="3"/>
        <v/>
      </c>
      <c r="O17" s="36" t="str">
        <f t="shared" ca="1" si="4"/>
        <v/>
      </c>
      <c r="P17" s="36" t="str">
        <f t="shared" ca="1" si="5"/>
        <v/>
      </c>
      <c r="Q17" s="53"/>
      <c r="R17" s="39"/>
      <c r="S17" s="97"/>
      <c r="T17" s="35" t="str">
        <f ca="1">'Hidden-Forecast Calculations'!R10</f>
        <v/>
      </c>
      <c r="U17" s="35" t="str">
        <f ca="1">'Hidden-Forecast Calculations'!S10</f>
        <v/>
      </c>
      <c r="V17" s="200" t="str">
        <f ca="1">'Hidden-Forecast Calculations'!T10</f>
        <v/>
      </c>
    </row>
    <row r="18" spans="2:22" ht="20.100000000000001" customHeight="1" x14ac:dyDescent="0.2">
      <c r="B18" s="42" t="str">
        <f ca="1">'Hidden-Forecast Calculations'!E11</f>
        <v/>
      </c>
      <c r="C18" s="36" t="str">
        <f ca="1">IF(B18="","",COUNTIF(EmployeeTable[Role],B18))</f>
        <v/>
      </c>
      <c r="D18" s="70" t="str">
        <f ca="1">IF(COUNTIF(EmployeeTable[Role],B18)=0,"",COUNTIFS(EmployeeTable[Role],B18,EmployeeTable[Over 55],1)/COUNTIF(EmployeeTable[Role],B18))</f>
        <v/>
      </c>
      <c r="E18" s="36" t="str">
        <f ca="1">IF(B18="","",'Hidden-Forecast Calculations'!G11)</f>
        <v/>
      </c>
      <c r="F18" s="37"/>
      <c r="G18" s="58" t="str">
        <f t="shared" ca="1" si="0"/>
        <v/>
      </c>
      <c r="H18" s="36" t="str">
        <f t="shared" ca="1" si="1"/>
        <v/>
      </c>
      <c r="I18" s="36" t="str">
        <f t="shared" ca="1" si="2"/>
        <v/>
      </c>
      <c r="J18" s="38" t="str">
        <f ca="1">IF(B18="","",'Hidden-Forecast Calculations'!L11)</f>
        <v/>
      </c>
      <c r="K18" s="53"/>
      <c r="L18" s="39"/>
      <c r="M18" s="39"/>
      <c r="N18" s="58" t="str">
        <f t="shared" ca="1" si="3"/>
        <v/>
      </c>
      <c r="O18" s="36" t="str">
        <f t="shared" ca="1" si="4"/>
        <v/>
      </c>
      <c r="P18" s="36" t="str">
        <f t="shared" ca="1" si="5"/>
        <v/>
      </c>
      <c r="Q18" s="53"/>
      <c r="R18" s="39"/>
      <c r="S18" s="97"/>
      <c r="T18" s="35" t="str">
        <f ca="1">'Hidden-Forecast Calculations'!R11</f>
        <v/>
      </c>
      <c r="U18" s="35" t="str">
        <f ca="1">'Hidden-Forecast Calculations'!S11</f>
        <v/>
      </c>
      <c r="V18" s="200" t="str">
        <f ca="1">'Hidden-Forecast Calculations'!T11</f>
        <v/>
      </c>
    </row>
    <row r="19" spans="2:22" ht="20.100000000000001" customHeight="1" x14ac:dyDescent="0.2">
      <c r="B19" s="42" t="str">
        <f ca="1">'Hidden-Forecast Calculations'!E12</f>
        <v/>
      </c>
      <c r="C19" s="36" t="str">
        <f ca="1">IF(B19="","",COUNTIF(EmployeeTable[Role],B19))</f>
        <v/>
      </c>
      <c r="D19" s="70" t="str">
        <f ca="1">IF(COUNTIF(EmployeeTable[Role],B19)=0,"",COUNTIFS(EmployeeTable[Role],B19,EmployeeTable[Over 55],1)/COUNTIF(EmployeeTable[Role],B19))</f>
        <v/>
      </c>
      <c r="E19" s="36" t="str">
        <f ca="1">IF(B19="","",'Hidden-Forecast Calculations'!G12)</f>
        <v/>
      </c>
      <c r="F19" s="37"/>
      <c r="G19" s="58" t="str">
        <f t="shared" ca="1" si="0"/>
        <v/>
      </c>
      <c r="H19" s="36" t="str">
        <f t="shared" ca="1" si="1"/>
        <v/>
      </c>
      <c r="I19" s="36" t="str">
        <f t="shared" ca="1" si="2"/>
        <v/>
      </c>
      <c r="J19" s="38" t="str">
        <f ca="1">IF(B19="","",'Hidden-Forecast Calculations'!L12)</f>
        <v/>
      </c>
      <c r="K19" s="53"/>
      <c r="L19" s="39"/>
      <c r="M19" s="39"/>
      <c r="N19" s="58" t="str">
        <f t="shared" ca="1" si="3"/>
        <v/>
      </c>
      <c r="O19" s="36" t="str">
        <f t="shared" ca="1" si="4"/>
        <v/>
      </c>
      <c r="P19" s="36" t="str">
        <f t="shared" ca="1" si="5"/>
        <v/>
      </c>
      <c r="Q19" s="53"/>
      <c r="R19" s="39"/>
      <c r="S19" s="97"/>
      <c r="T19" s="35" t="str">
        <f ca="1">'Hidden-Forecast Calculations'!R12</f>
        <v/>
      </c>
      <c r="U19" s="35" t="str">
        <f ca="1">'Hidden-Forecast Calculations'!S12</f>
        <v/>
      </c>
      <c r="V19" s="200" t="str">
        <f ca="1">'Hidden-Forecast Calculations'!T12</f>
        <v/>
      </c>
    </row>
    <row r="20" spans="2:22" ht="20.100000000000001" customHeight="1" x14ac:dyDescent="0.2">
      <c r="B20" s="42" t="str">
        <f ca="1">'Hidden-Forecast Calculations'!E13</f>
        <v/>
      </c>
      <c r="C20" s="36" t="str">
        <f ca="1">IF(B20="","",COUNTIF(EmployeeTable[Role],B20))</f>
        <v/>
      </c>
      <c r="D20" s="70" t="str">
        <f ca="1">IF(COUNTIF(EmployeeTable[Role],B20)=0,"",COUNTIFS(EmployeeTable[Role],B20,EmployeeTable[Over 55],1)/COUNTIF(EmployeeTable[Role],B20))</f>
        <v/>
      </c>
      <c r="E20" s="36" t="str">
        <f ca="1">IF(B20="","",'Hidden-Forecast Calculations'!G13)</f>
        <v/>
      </c>
      <c r="F20" s="37"/>
      <c r="G20" s="58" t="str">
        <f t="shared" ca="1" si="0"/>
        <v/>
      </c>
      <c r="H20" s="36" t="str">
        <f t="shared" ca="1" si="1"/>
        <v/>
      </c>
      <c r="I20" s="36" t="str">
        <f t="shared" ca="1" si="2"/>
        <v/>
      </c>
      <c r="J20" s="38" t="str">
        <f ca="1">IF(B20="","",'Hidden-Forecast Calculations'!L13)</f>
        <v/>
      </c>
      <c r="K20" s="53"/>
      <c r="L20" s="39"/>
      <c r="M20" s="39"/>
      <c r="N20" s="58" t="str">
        <f t="shared" ca="1" si="3"/>
        <v/>
      </c>
      <c r="O20" s="36" t="str">
        <f t="shared" ca="1" si="4"/>
        <v/>
      </c>
      <c r="P20" s="36" t="str">
        <f t="shared" ca="1" si="5"/>
        <v/>
      </c>
      <c r="Q20" s="53"/>
      <c r="R20" s="39"/>
      <c r="S20" s="97"/>
      <c r="T20" s="35" t="str">
        <f ca="1">'Hidden-Forecast Calculations'!R13</f>
        <v/>
      </c>
      <c r="U20" s="35" t="str">
        <f ca="1">'Hidden-Forecast Calculations'!S13</f>
        <v/>
      </c>
      <c r="V20" s="200" t="str">
        <f ca="1">'Hidden-Forecast Calculations'!T13</f>
        <v/>
      </c>
    </row>
    <row r="21" spans="2:22" ht="20.100000000000001" customHeight="1" x14ac:dyDescent="0.2">
      <c r="B21" s="42" t="str">
        <f ca="1">'Hidden-Forecast Calculations'!E14</f>
        <v/>
      </c>
      <c r="C21" s="36" t="str">
        <f ca="1">IF(B21="","",COUNTIF(EmployeeTable[Role],B21))</f>
        <v/>
      </c>
      <c r="D21" s="70" t="str">
        <f ca="1">IF(COUNTIF(EmployeeTable[Role],B21)=0,"",COUNTIFS(EmployeeTable[Role],B21,EmployeeTable[Over 55],1)/COUNTIF(EmployeeTable[Role],B21))</f>
        <v/>
      </c>
      <c r="E21" s="36" t="str">
        <f ca="1">IF(B21="","",'Hidden-Forecast Calculations'!G14)</f>
        <v/>
      </c>
      <c r="F21" s="37"/>
      <c r="G21" s="58" t="str">
        <f t="shared" ca="1" si="0"/>
        <v/>
      </c>
      <c r="H21" s="36" t="str">
        <f t="shared" ca="1" si="1"/>
        <v/>
      </c>
      <c r="I21" s="36" t="str">
        <f t="shared" ca="1" si="2"/>
        <v/>
      </c>
      <c r="J21" s="38" t="str">
        <f ca="1">IF(B21="","",'Hidden-Forecast Calculations'!L14)</f>
        <v/>
      </c>
      <c r="K21" s="53"/>
      <c r="L21" s="39"/>
      <c r="M21" s="39"/>
      <c r="N21" s="58" t="str">
        <f t="shared" ca="1" si="3"/>
        <v/>
      </c>
      <c r="O21" s="36" t="str">
        <f t="shared" ca="1" si="4"/>
        <v/>
      </c>
      <c r="P21" s="36" t="str">
        <f t="shared" ca="1" si="5"/>
        <v/>
      </c>
      <c r="Q21" s="53"/>
      <c r="R21" s="39"/>
      <c r="S21" s="97"/>
      <c r="T21" s="35" t="str">
        <f ca="1">'Hidden-Forecast Calculations'!R14</f>
        <v/>
      </c>
      <c r="U21" s="35" t="str">
        <f ca="1">'Hidden-Forecast Calculations'!S14</f>
        <v/>
      </c>
      <c r="V21" s="200" t="str">
        <f ca="1">'Hidden-Forecast Calculations'!T14</f>
        <v/>
      </c>
    </row>
    <row r="22" spans="2:22" ht="20.100000000000001" customHeight="1" x14ac:dyDescent="0.2">
      <c r="B22" s="42" t="str">
        <f ca="1">'Hidden-Forecast Calculations'!E15</f>
        <v/>
      </c>
      <c r="C22" s="36" t="str">
        <f ca="1">IF(B22="","",COUNTIF(EmployeeTable[Role],B22))</f>
        <v/>
      </c>
      <c r="D22" s="70" t="str">
        <f ca="1">IF(COUNTIF(EmployeeTable[Role],B22)=0,"",COUNTIFS(EmployeeTable[Role],B22,EmployeeTable[Over 55],1)/COUNTIF(EmployeeTable[Role],B22))</f>
        <v/>
      </c>
      <c r="E22" s="36" t="str">
        <f ca="1">IF(B22="","",'Hidden-Forecast Calculations'!G15)</f>
        <v/>
      </c>
      <c r="F22" s="37"/>
      <c r="G22" s="58" t="str">
        <f t="shared" ca="1" si="0"/>
        <v/>
      </c>
      <c r="H22" s="36" t="str">
        <f t="shared" ca="1" si="1"/>
        <v/>
      </c>
      <c r="I22" s="36" t="str">
        <f t="shared" ca="1" si="2"/>
        <v/>
      </c>
      <c r="J22" s="38" t="str">
        <f ca="1">IF(B22="","",'Hidden-Forecast Calculations'!L15)</f>
        <v/>
      </c>
      <c r="K22" s="53"/>
      <c r="L22" s="39"/>
      <c r="M22" s="39"/>
      <c r="N22" s="58" t="str">
        <f t="shared" ca="1" si="3"/>
        <v/>
      </c>
      <c r="O22" s="36" t="str">
        <f t="shared" ca="1" si="4"/>
        <v/>
      </c>
      <c r="P22" s="36" t="str">
        <f t="shared" ca="1" si="5"/>
        <v/>
      </c>
      <c r="Q22" s="53"/>
      <c r="R22" s="39"/>
      <c r="S22" s="97"/>
      <c r="T22" s="35" t="str">
        <f ca="1">'Hidden-Forecast Calculations'!R15</f>
        <v/>
      </c>
      <c r="U22" s="35" t="str">
        <f ca="1">'Hidden-Forecast Calculations'!S15</f>
        <v/>
      </c>
      <c r="V22" s="200" t="str">
        <f ca="1">'Hidden-Forecast Calculations'!T15</f>
        <v/>
      </c>
    </row>
    <row r="23" spans="2:22" ht="20.100000000000001" customHeight="1" x14ac:dyDescent="0.2">
      <c r="B23" s="42" t="str">
        <f ca="1">'Hidden-Forecast Calculations'!E16</f>
        <v/>
      </c>
      <c r="C23" s="36" t="str">
        <f ca="1">IF(B23="","",COUNTIF(EmployeeTable[Role],B23))</f>
        <v/>
      </c>
      <c r="D23" s="70" t="str">
        <f ca="1">IF(COUNTIF(EmployeeTable[Role],B23)=0,"",COUNTIFS(EmployeeTable[Role],B23,EmployeeTable[Over 55],1)/COUNTIF(EmployeeTable[Role],B23))</f>
        <v/>
      </c>
      <c r="E23" s="36" t="str">
        <f ca="1">IF(B23="","",'Hidden-Forecast Calculations'!G16)</f>
        <v/>
      </c>
      <c r="F23" s="37"/>
      <c r="G23" s="58" t="str">
        <f t="shared" ca="1" si="0"/>
        <v/>
      </c>
      <c r="H23" s="36" t="str">
        <f t="shared" ca="1" si="1"/>
        <v/>
      </c>
      <c r="I23" s="36" t="str">
        <f t="shared" ca="1" si="2"/>
        <v/>
      </c>
      <c r="J23" s="38" t="str">
        <f ca="1">IF(B23="","",'Hidden-Forecast Calculations'!L16)</f>
        <v/>
      </c>
      <c r="K23" s="54"/>
      <c r="L23" s="40"/>
      <c r="M23" s="40"/>
      <c r="N23" s="58" t="str">
        <f t="shared" ca="1" si="3"/>
        <v/>
      </c>
      <c r="O23" s="36" t="str">
        <f t="shared" ca="1" si="4"/>
        <v/>
      </c>
      <c r="P23" s="36" t="str">
        <f t="shared" ca="1" si="5"/>
        <v/>
      </c>
      <c r="Q23" s="54"/>
      <c r="R23" s="40"/>
      <c r="S23" s="97"/>
      <c r="T23" s="35" t="str">
        <f ca="1">'Hidden-Forecast Calculations'!R16</f>
        <v/>
      </c>
      <c r="U23" s="35" t="str">
        <f ca="1">'Hidden-Forecast Calculations'!S16</f>
        <v/>
      </c>
      <c r="V23" s="200" t="str">
        <f ca="1">'Hidden-Forecast Calculations'!T16</f>
        <v/>
      </c>
    </row>
    <row r="24" spans="2:22" ht="20.100000000000001" customHeight="1" x14ac:dyDescent="0.2">
      <c r="B24" s="42" t="str">
        <f ca="1">'Hidden-Forecast Calculations'!E17</f>
        <v/>
      </c>
      <c r="C24" s="36" t="str">
        <f ca="1">IF(B24="","",COUNTIF(EmployeeTable[Role],B24))</f>
        <v/>
      </c>
      <c r="D24" s="70" t="str">
        <f ca="1">IF(COUNTIF(EmployeeTable[Role],B24)=0,"",COUNTIFS(EmployeeTable[Role],B24,EmployeeTable[Over 55],1)/COUNTIF(EmployeeTable[Role],B24))</f>
        <v/>
      </c>
      <c r="E24" s="36" t="str">
        <f ca="1">IF(B24="","",'Hidden-Forecast Calculations'!G17)</f>
        <v/>
      </c>
      <c r="F24" s="37"/>
      <c r="G24" s="58" t="str">
        <f t="shared" ca="1" si="0"/>
        <v/>
      </c>
      <c r="H24" s="36" t="str">
        <f t="shared" ca="1" si="1"/>
        <v/>
      </c>
      <c r="I24" s="36" t="str">
        <f t="shared" ca="1" si="2"/>
        <v/>
      </c>
      <c r="J24" s="38" t="str">
        <f ca="1">IF(B24="","",'Hidden-Forecast Calculations'!L17)</f>
        <v/>
      </c>
      <c r="K24" s="54"/>
      <c r="L24" s="40"/>
      <c r="M24" s="40"/>
      <c r="N24" s="58" t="str">
        <f t="shared" ca="1" si="3"/>
        <v/>
      </c>
      <c r="O24" s="36" t="str">
        <f t="shared" ca="1" si="4"/>
        <v/>
      </c>
      <c r="P24" s="36" t="str">
        <f t="shared" ca="1" si="5"/>
        <v/>
      </c>
      <c r="Q24" s="54"/>
      <c r="R24" s="40"/>
      <c r="S24" s="97"/>
      <c r="T24" s="35" t="str">
        <f ca="1">'Hidden-Forecast Calculations'!R17</f>
        <v/>
      </c>
      <c r="U24" s="35" t="str">
        <f ca="1">'Hidden-Forecast Calculations'!S17</f>
        <v/>
      </c>
      <c r="V24" s="200" t="str">
        <f ca="1">'Hidden-Forecast Calculations'!T17</f>
        <v/>
      </c>
    </row>
    <row r="25" spans="2:22" ht="20.100000000000001" customHeight="1" x14ac:dyDescent="0.2">
      <c r="B25" s="42" t="str">
        <f ca="1">'Hidden-Forecast Calculations'!E18</f>
        <v/>
      </c>
      <c r="C25" s="36" t="str">
        <f ca="1">IF(B25="","",COUNTIF(EmployeeTable[Role],B25))</f>
        <v/>
      </c>
      <c r="D25" s="70" t="str">
        <f ca="1">IF(COUNTIF(EmployeeTable[Role],B25)=0,"",COUNTIFS(EmployeeTable[Role],B25,EmployeeTable[Over 55],1)/COUNTIF(EmployeeTable[Role],B25))</f>
        <v/>
      </c>
      <c r="E25" s="36" t="str">
        <f ca="1">IF(B25="","",'Hidden-Forecast Calculations'!G18)</f>
        <v/>
      </c>
      <c r="F25" s="37"/>
      <c r="G25" s="58" t="str">
        <f t="shared" ca="1" si="0"/>
        <v/>
      </c>
      <c r="H25" s="36" t="str">
        <f t="shared" ca="1" si="1"/>
        <v/>
      </c>
      <c r="I25" s="36" t="str">
        <f t="shared" ca="1" si="2"/>
        <v/>
      </c>
      <c r="J25" s="38" t="str">
        <f ca="1">IF(B25="","",'Hidden-Forecast Calculations'!L18)</f>
        <v/>
      </c>
      <c r="K25" s="54"/>
      <c r="L25" s="40"/>
      <c r="M25" s="40"/>
      <c r="N25" s="58" t="str">
        <f t="shared" ca="1" si="3"/>
        <v/>
      </c>
      <c r="O25" s="36" t="str">
        <f t="shared" ca="1" si="4"/>
        <v/>
      </c>
      <c r="P25" s="36" t="str">
        <f t="shared" ca="1" si="5"/>
        <v/>
      </c>
      <c r="Q25" s="54"/>
      <c r="R25" s="40"/>
      <c r="S25" s="97"/>
      <c r="T25" s="35" t="str">
        <f ca="1">'Hidden-Forecast Calculations'!R18</f>
        <v/>
      </c>
      <c r="U25" s="35" t="str">
        <f ca="1">'Hidden-Forecast Calculations'!S18</f>
        <v/>
      </c>
      <c r="V25" s="200" t="str">
        <f ca="1">'Hidden-Forecast Calculations'!T18</f>
        <v/>
      </c>
    </row>
    <row r="26" spans="2:22" ht="20.100000000000001" customHeight="1" x14ac:dyDescent="0.2">
      <c r="B26" s="42" t="str">
        <f ca="1">'Hidden-Forecast Calculations'!E19</f>
        <v/>
      </c>
      <c r="C26" s="36" t="str">
        <f ca="1">IF(B26="","",COUNTIF(EmployeeTable[Role],B26))</f>
        <v/>
      </c>
      <c r="D26" s="70" t="str">
        <f ca="1">IF(COUNTIF(EmployeeTable[Role],B26)=0,"",COUNTIFS(EmployeeTable[Role],B26,EmployeeTable[Over 55],1)/COUNTIF(EmployeeTable[Role],B26))</f>
        <v/>
      </c>
      <c r="E26" s="36" t="str">
        <f ca="1">IF(B26="","",'Hidden-Forecast Calculations'!G19)</f>
        <v/>
      </c>
      <c r="F26" s="37"/>
      <c r="G26" s="58" t="str">
        <f t="shared" ca="1" si="0"/>
        <v/>
      </c>
      <c r="H26" s="36" t="str">
        <f t="shared" ca="1" si="1"/>
        <v/>
      </c>
      <c r="I26" s="36" t="str">
        <f t="shared" ca="1" si="2"/>
        <v/>
      </c>
      <c r="J26" s="38" t="str">
        <f ca="1">IF(B26="","",'Hidden-Forecast Calculations'!L19)</f>
        <v/>
      </c>
      <c r="K26" s="54"/>
      <c r="L26" s="40"/>
      <c r="M26" s="40"/>
      <c r="N26" s="58" t="str">
        <f t="shared" ca="1" si="3"/>
        <v/>
      </c>
      <c r="O26" s="36" t="str">
        <f t="shared" ca="1" si="4"/>
        <v/>
      </c>
      <c r="P26" s="36" t="str">
        <f t="shared" ca="1" si="5"/>
        <v/>
      </c>
      <c r="Q26" s="54"/>
      <c r="R26" s="40"/>
      <c r="S26" s="97"/>
      <c r="T26" s="35" t="str">
        <f ca="1">'Hidden-Forecast Calculations'!R19</f>
        <v/>
      </c>
      <c r="U26" s="35" t="str">
        <f ca="1">'Hidden-Forecast Calculations'!S19</f>
        <v/>
      </c>
      <c r="V26" s="200" t="str">
        <f ca="1">'Hidden-Forecast Calculations'!T19</f>
        <v/>
      </c>
    </row>
    <row r="27" spans="2:22" ht="20.100000000000001" customHeight="1" x14ac:dyDescent="0.2">
      <c r="B27" s="42" t="str">
        <f ca="1">'Hidden-Forecast Calculations'!E20</f>
        <v/>
      </c>
      <c r="C27" s="36" t="str">
        <f ca="1">IF(B27="","",COUNTIF(EmployeeTable[Role],B27))</f>
        <v/>
      </c>
      <c r="D27" s="70" t="str">
        <f ca="1">IF(COUNTIF(EmployeeTable[Role],B27)=0,"",COUNTIFS(EmployeeTable[Role],B27,EmployeeTable[Over 55],1)/COUNTIF(EmployeeTable[Role],B27))</f>
        <v/>
      </c>
      <c r="E27" s="36" t="str">
        <f ca="1">IF(B27="","",'Hidden-Forecast Calculations'!G20)</f>
        <v/>
      </c>
      <c r="F27" s="37"/>
      <c r="G27" s="58" t="str">
        <f t="shared" ca="1" si="0"/>
        <v/>
      </c>
      <c r="H27" s="36" t="str">
        <f t="shared" ca="1" si="1"/>
        <v/>
      </c>
      <c r="I27" s="36" t="str">
        <f t="shared" ca="1" si="2"/>
        <v/>
      </c>
      <c r="J27" s="38" t="str">
        <f ca="1">IF(B27="","",'Hidden-Forecast Calculations'!L20)</f>
        <v/>
      </c>
      <c r="K27" s="54"/>
      <c r="L27" s="40"/>
      <c r="M27" s="40"/>
      <c r="N27" s="58" t="str">
        <f t="shared" ca="1" si="3"/>
        <v/>
      </c>
      <c r="O27" s="36" t="str">
        <f t="shared" ca="1" si="4"/>
        <v/>
      </c>
      <c r="P27" s="36" t="str">
        <f t="shared" ca="1" si="5"/>
        <v/>
      </c>
      <c r="Q27" s="54"/>
      <c r="R27" s="40"/>
      <c r="S27" s="97"/>
      <c r="T27" s="35" t="str">
        <f ca="1">'Hidden-Forecast Calculations'!R20</f>
        <v/>
      </c>
      <c r="U27" s="35" t="str">
        <f ca="1">'Hidden-Forecast Calculations'!S20</f>
        <v/>
      </c>
      <c r="V27" s="200" t="str">
        <f ca="1">'Hidden-Forecast Calculations'!T20</f>
        <v/>
      </c>
    </row>
    <row r="28" spans="2:22" ht="20.100000000000001" customHeight="1" x14ac:dyDescent="0.2">
      <c r="B28" s="42" t="str">
        <f ca="1">'Hidden-Forecast Calculations'!E21</f>
        <v/>
      </c>
      <c r="C28" s="36" t="str">
        <f ca="1">IF(B28="","",COUNTIF(EmployeeTable[Role],B28))</f>
        <v/>
      </c>
      <c r="D28" s="70" t="str">
        <f ca="1">IF(COUNTIF(EmployeeTable[Role],B28)=0,"",COUNTIFS(EmployeeTable[Role],B28,EmployeeTable[Over 55],1)/COUNTIF(EmployeeTable[Role],B28))</f>
        <v/>
      </c>
      <c r="E28" s="36" t="str">
        <f ca="1">IF(B28="","",'Hidden-Forecast Calculations'!G21)</f>
        <v/>
      </c>
      <c r="F28" s="37"/>
      <c r="G28" s="58" t="str">
        <f t="shared" ca="1" si="0"/>
        <v/>
      </c>
      <c r="H28" s="36" t="str">
        <f t="shared" ca="1" si="1"/>
        <v/>
      </c>
      <c r="I28" s="36" t="str">
        <f t="shared" ca="1" si="2"/>
        <v/>
      </c>
      <c r="J28" s="38" t="str">
        <f ca="1">IF(B28="","",'Hidden-Forecast Calculations'!L21)</f>
        <v/>
      </c>
      <c r="K28" s="54"/>
      <c r="L28" s="40"/>
      <c r="M28" s="40"/>
      <c r="N28" s="58" t="str">
        <f t="shared" ca="1" si="3"/>
        <v/>
      </c>
      <c r="O28" s="36" t="str">
        <f t="shared" ca="1" si="4"/>
        <v/>
      </c>
      <c r="P28" s="36" t="str">
        <f t="shared" ca="1" si="5"/>
        <v/>
      </c>
      <c r="Q28" s="54"/>
      <c r="R28" s="40"/>
      <c r="S28" s="97"/>
      <c r="T28" s="35" t="str">
        <f ca="1">'Hidden-Forecast Calculations'!R21</f>
        <v/>
      </c>
      <c r="U28" s="35" t="str">
        <f ca="1">'Hidden-Forecast Calculations'!S21</f>
        <v/>
      </c>
      <c r="V28" s="200" t="str">
        <f ca="1">'Hidden-Forecast Calculations'!T21</f>
        <v/>
      </c>
    </row>
    <row r="29" spans="2:22" ht="20.100000000000001" customHeight="1" x14ac:dyDescent="0.2">
      <c r="B29" s="42" t="str">
        <f ca="1">'Hidden-Forecast Calculations'!E22</f>
        <v/>
      </c>
      <c r="C29" s="36" t="str">
        <f ca="1">IF(B29="","",COUNTIF(EmployeeTable[Role],B29))</f>
        <v/>
      </c>
      <c r="D29" s="70" t="str">
        <f ca="1">IF(COUNTIF(EmployeeTable[Role],B29)=0,"",COUNTIFS(EmployeeTable[Role],B29,EmployeeTable[Over 55],1)/COUNTIF(EmployeeTable[Role],B29))</f>
        <v/>
      </c>
      <c r="E29" s="36" t="str">
        <f ca="1">IF(B29="","",'Hidden-Forecast Calculations'!G22)</f>
        <v/>
      </c>
      <c r="F29" s="37"/>
      <c r="G29" s="58" t="str">
        <f t="shared" ca="1" si="0"/>
        <v/>
      </c>
      <c r="H29" s="36" t="str">
        <f t="shared" ca="1" si="1"/>
        <v/>
      </c>
      <c r="I29" s="36" t="str">
        <f t="shared" ca="1" si="2"/>
        <v/>
      </c>
      <c r="J29" s="38" t="str">
        <f ca="1">IF(B29="","",'Hidden-Forecast Calculations'!L22)</f>
        <v/>
      </c>
      <c r="K29" s="54"/>
      <c r="L29" s="40"/>
      <c r="M29" s="40"/>
      <c r="N29" s="58" t="str">
        <f t="shared" ca="1" si="3"/>
        <v/>
      </c>
      <c r="O29" s="36" t="str">
        <f t="shared" ca="1" si="4"/>
        <v/>
      </c>
      <c r="P29" s="36" t="str">
        <f t="shared" ca="1" si="5"/>
        <v/>
      </c>
      <c r="Q29" s="54"/>
      <c r="R29" s="40"/>
      <c r="S29" s="97"/>
      <c r="T29" s="35" t="str">
        <f ca="1">'Hidden-Forecast Calculations'!R22</f>
        <v/>
      </c>
      <c r="U29" s="35" t="str">
        <f ca="1">'Hidden-Forecast Calculations'!S22</f>
        <v/>
      </c>
      <c r="V29" s="200" t="str">
        <f ca="1">'Hidden-Forecast Calculations'!T22</f>
        <v/>
      </c>
    </row>
    <row r="30" spans="2:22" ht="20.100000000000001" customHeight="1" x14ac:dyDescent="0.2">
      <c r="B30" s="42" t="str">
        <f ca="1">'Hidden-Forecast Calculations'!E23</f>
        <v/>
      </c>
      <c r="C30" s="36" t="str">
        <f ca="1">IF(B30="","",COUNTIF(EmployeeTable[Role],B30))</f>
        <v/>
      </c>
      <c r="D30" s="70" t="str">
        <f ca="1">IF(COUNTIF(EmployeeTable[Role],B30)=0,"",COUNTIFS(EmployeeTable[Role],B30,EmployeeTable[Over 55],1)/COUNTIF(EmployeeTable[Role],B30))</f>
        <v/>
      </c>
      <c r="E30" s="36" t="str">
        <f ca="1">IF(B30="","",'Hidden-Forecast Calculations'!G23)</f>
        <v/>
      </c>
      <c r="F30" s="37"/>
      <c r="G30" s="58" t="str">
        <f t="shared" ca="1" si="0"/>
        <v/>
      </c>
      <c r="H30" s="36" t="str">
        <f t="shared" ca="1" si="1"/>
        <v/>
      </c>
      <c r="I30" s="36" t="str">
        <f t="shared" ca="1" si="2"/>
        <v/>
      </c>
      <c r="J30" s="38" t="str">
        <f ca="1">IF(B30="","",'Hidden-Forecast Calculations'!L23)</f>
        <v/>
      </c>
      <c r="K30" s="54"/>
      <c r="L30" s="40"/>
      <c r="M30" s="40"/>
      <c r="N30" s="58" t="str">
        <f t="shared" ca="1" si="3"/>
        <v/>
      </c>
      <c r="O30" s="36" t="str">
        <f t="shared" ca="1" si="4"/>
        <v/>
      </c>
      <c r="P30" s="36" t="str">
        <f t="shared" ca="1" si="5"/>
        <v/>
      </c>
      <c r="Q30" s="54"/>
      <c r="R30" s="40"/>
      <c r="S30" s="97"/>
      <c r="T30" s="35" t="str">
        <f ca="1">'Hidden-Forecast Calculations'!R23</f>
        <v/>
      </c>
      <c r="U30" s="35" t="str">
        <f ca="1">'Hidden-Forecast Calculations'!S23</f>
        <v/>
      </c>
      <c r="V30" s="200" t="str">
        <f ca="1">'Hidden-Forecast Calculations'!T23</f>
        <v/>
      </c>
    </row>
    <row r="31" spans="2:22" ht="20.100000000000001" customHeight="1" x14ac:dyDescent="0.2">
      <c r="B31" s="42" t="str">
        <f ca="1">'Hidden-Forecast Calculations'!E24</f>
        <v/>
      </c>
      <c r="C31" s="36" t="str">
        <f ca="1">IF(B31="","",COUNTIF(EmployeeTable[Role],B31))</f>
        <v/>
      </c>
      <c r="D31" s="70" t="str">
        <f ca="1">IF(COUNTIF(EmployeeTable[Role],B31)=0,"",COUNTIFS(EmployeeTable[Role],B31,EmployeeTable[Over 55],1)/COUNTIF(EmployeeTable[Role],B31))</f>
        <v/>
      </c>
      <c r="E31" s="36" t="str">
        <f ca="1">IF(B31="","",'Hidden-Forecast Calculations'!G24)</f>
        <v/>
      </c>
      <c r="F31" s="37"/>
      <c r="G31" s="58" t="str">
        <f t="shared" ca="1" si="0"/>
        <v/>
      </c>
      <c r="H31" s="36" t="str">
        <f t="shared" ca="1" si="1"/>
        <v/>
      </c>
      <c r="I31" s="36" t="str">
        <f t="shared" ca="1" si="2"/>
        <v/>
      </c>
      <c r="J31" s="38" t="str">
        <f ca="1">IF(B31="","",'Hidden-Forecast Calculations'!L24)</f>
        <v/>
      </c>
      <c r="K31" s="54"/>
      <c r="L31" s="40"/>
      <c r="M31" s="40"/>
      <c r="N31" s="58" t="str">
        <f t="shared" ca="1" si="3"/>
        <v/>
      </c>
      <c r="O31" s="36" t="str">
        <f t="shared" ca="1" si="4"/>
        <v/>
      </c>
      <c r="P31" s="36" t="str">
        <f t="shared" ca="1" si="5"/>
        <v/>
      </c>
      <c r="Q31" s="54"/>
      <c r="R31" s="40"/>
      <c r="S31" s="97"/>
      <c r="T31" s="35" t="str">
        <f ca="1">'Hidden-Forecast Calculations'!R24</f>
        <v/>
      </c>
      <c r="U31" s="35" t="str">
        <f ca="1">'Hidden-Forecast Calculations'!S24</f>
        <v/>
      </c>
      <c r="V31" s="200" t="str">
        <f ca="1">'Hidden-Forecast Calculations'!T24</f>
        <v/>
      </c>
    </row>
    <row r="32" spans="2:22" ht="20.100000000000001" customHeight="1" x14ac:dyDescent="0.2">
      <c r="B32" s="42" t="str">
        <f ca="1">'Hidden-Forecast Calculations'!E25</f>
        <v/>
      </c>
      <c r="C32" s="36" t="str">
        <f ca="1">IF(B32="","",COUNTIF(EmployeeTable[Role],B32))</f>
        <v/>
      </c>
      <c r="D32" s="70" t="str">
        <f ca="1">IF(COUNTIF(EmployeeTable[Role],B32)=0,"",COUNTIFS(EmployeeTable[Role],B32,EmployeeTable[Over 55],1)/COUNTIF(EmployeeTable[Role],B32))</f>
        <v/>
      </c>
      <c r="E32" s="36" t="str">
        <f ca="1">IF(B32="","",'Hidden-Forecast Calculations'!G25)</f>
        <v/>
      </c>
      <c r="F32" s="37"/>
      <c r="G32" s="58" t="str">
        <f t="shared" ca="1" si="0"/>
        <v/>
      </c>
      <c r="H32" s="36" t="str">
        <f t="shared" ca="1" si="1"/>
        <v/>
      </c>
      <c r="I32" s="36" t="str">
        <f t="shared" ca="1" si="2"/>
        <v/>
      </c>
      <c r="J32" s="38" t="str">
        <f ca="1">IF(B32="","",'Hidden-Forecast Calculations'!L25)</f>
        <v/>
      </c>
      <c r="K32" s="54"/>
      <c r="L32" s="40"/>
      <c r="M32" s="40"/>
      <c r="N32" s="58" t="str">
        <f t="shared" ca="1" si="3"/>
        <v/>
      </c>
      <c r="O32" s="36" t="str">
        <f t="shared" ca="1" si="4"/>
        <v/>
      </c>
      <c r="P32" s="36" t="str">
        <f t="shared" ca="1" si="5"/>
        <v/>
      </c>
      <c r="Q32" s="54"/>
      <c r="R32" s="40"/>
      <c r="S32" s="97"/>
      <c r="T32" s="35" t="str">
        <f ca="1">'Hidden-Forecast Calculations'!R25</f>
        <v/>
      </c>
      <c r="U32" s="35" t="str">
        <f ca="1">'Hidden-Forecast Calculations'!S25</f>
        <v/>
      </c>
      <c r="V32" s="200" t="str">
        <f ca="1">'Hidden-Forecast Calculations'!T25</f>
        <v/>
      </c>
    </row>
    <row r="33" spans="2:22" ht="20.100000000000001" customHeight="1" x14ac:dyDescent="0.2">
      <c r="B33" s="42" t="str">
        <f ca="1">'Hidden-Forecast Calculations'!E26</f>
        <v/>
      </c>
      <c r="C33" s="36" t="str">
        <f ca="1">IF(B33="","",COUNTIF(EmployeeTable[Role],B33))</f>
        <v/>
      </c>
      <c r="D33" s="70" t="str">
        <f ca="1">IF(COUNTIF(EmployeeTable[Role],B33)=0,"",COUNTIFS(EmployeeTable[Role],B33,EmployeeTable[Over 55],1)/COUNTIF(EmployeeTable[Role],B33))</f>
        <v/>
      </c>
      <c r="E33" s="36" t="str">
        <f ca="1">IF(B33="","",'Hidden-Forecast Calculations'!G26)</f>
        <v/>
      </c>
      <c r="F33" s="37"/>
      <c r="G33" s="58" t="str">
        <f t="shared" ca="1" si="0"/>
        <v/>
      </c>
      <c r="H33" s="36" t="str">
        <f t="shared" ca="1" si="1"/>
        <v/>
      </c>
      <c r="I33" s="36" t="str">
        <f t="shared" ca="1" si="2"/>
        <v/>
      </c>
      <c r="J33" s="38" t="str">
        <f ca="1">IF(B33="","",'Hidden-Forecast Calculations'!L26)</f>
        <v/>
      </c>
      <c r="K33" s="54"/>
      <c r="L33" s="40"/>
      <c r="M33" s="40"/>
      <c r="N33" s="58" t="str">
        <f t="shared" ca="1" si="3"/>
        <v/>
      </c>
      <c r="O33" s="36" t="str">
        <f t="shared" ca="1" si="4"/>
        <v/>
      </c>
      <c r="P33" s="36" t="str">
        <f t="shared" ca="1" si="5"/>
        <v/>
      </c>
      <c r="Q33" s="54"/>
      <c r="R33" s="40"/>
      <c r="S33" s="97"/>
      <c r="T33" s="35" t="str">
        <f ca="1">'Hidden-Forecast Calculations'!R26</f>
        <v/>
      </c>
      <c r="U33" s="35" t="str">
        <f ca="1">'Hidden-Forecast Calculations'!S26</f>
        <v/>
      </c>
      <c r="V33" s="200" t="str">
        <f ca="1">'Hidden-Forecast Calculations'!T26</f>
        <v/>
      </c>
    </row>
    <row r="34" spans="2:22" ht="20.100000000000001" customHeight="1" x14ac:dyDescent="0.2">
      <c r="B34" s="42" t="str">
        <f ca="1">'Hidden-Forecast Calculations'!E27</f>
        <v/>
      </c>
      <c r="C34" s="36" t="str">
        <f ca="1">IF(B34="","",COUNTIF(EmployeeTable[Role],B34))</f>
        <v/>
      </c>
      <c r="D34" s="70" t="str">
        <f ca="1">IF(COUNTIF(EmployeeTable[Role],B34)=0,"",COUNTIFS(EmployeeTable[Role],B34,EmployeeTable[Over 55],1)/COUNTIF(EmployeeTable[Role],B34))</f>
        <v/>
      </c>
      <c r="E34" s="36" t="str">
        <f ca="1">IF(B34="","",'Hidden-Forecast Calculations'!G27)</f>
        <v/>
      </c>
      <c r="F34" s="37"/>
      <c r="G34" s="58" t="str">
        <f t="shared" ca="1" si="0"/>
        <v/>
      </c>
      <c r="H34" s="36" t="str">
        <f t="shared" ca="1" si="1"/>
        <v/>
      </c>
      <c r="I34" s="36" t="str">
        <f t="shared" ca="1" si="2"/>
        <v/>
      </c>
      <c r="J34" s="38" t="str">
        <f ca="1">IF(B34="","",'Hidden-Forecast Calculations'!L27)</f>
        <v/>
      </c>
      <c r="K34" s="54"/>
      <c r="L34" s="40"/>
      <c r="M34" s="40"/>
      <c r="N34" s="58" t="str">
        <f t="shared" ca="1" si="3"/>
        <v/>
      </c>
      <c r="O34" s="36" t="str">
        <f t="shared" ca="1" si="4"/>
        <v/>
      </c>
      <c r="P34" s="36" t="str">
        <f t="shared" ca="1" si="5"/>
        <v/>
      </c>
      <c r="Q34" s="54"/>
      <c r="R34" s="40"/>
      <c r="S34" s="97"/>
      <c r="T34" s="35" t="str">
        <f ca="1">'Hidden-Forecast Calculations'!R27</f>
        <v/>
      </c>
      <c r="U34" s="35" t="str">
        <f ca="1">'Hidden-Forecast Calculations'!S27</f>
        <v/>
      </c>
      <c r="V34" s="200" t="str">
        <f ca="1">'Hidden-Forecast Calculations'!T27</f>
        <v/>
      </c>
    </row>
    <row r="35" spans="2:22" ht="20.100000000000001" customHeight="1" x14ac:dyDescent="0.2">
      <c r="B35" s="42" t="str">
        <f ca="1">'Hidden-Forecast Calculations'!E28</f>
        <v/>
      </c>
      <c r="C35" s="36" t="str">
        <f ca="1">IF(B35="","",COUNTIF(EmployeeTable[Role],B35))</f>
        <v/>
      </c>
      <c r="D35" s="70" t="str">
        <f ca="1">IF(COUNTIF(EmployeeTable[Role],B35)=0,"",COUNTIFS(EmployeeTable[Role],B35,EmployeeTable[Over 55],1)/COUNTIF(EmployeeTable[Role],B35))</f>
        <v/>
      </c>
      <c r="E35" s="36" t="str">
        <f ca="1">IF(B35="","",'Hidden-Forecast Calculations'!G28)</f>
        <v/>
      </c>
      <c r="F35" s="37"/>
      <c r="G35" s="58" t="str">
        <f t="shared" ca="1" si="0"/>
        <v/>
      </c>
      <c r="H35" s="36" t="str">
        <f t="shared" ca="1" si="1"/>
        <v/>
      </c>
      <c r="I35" s="36" t="str">
        <f t="shared" ca="1" si="2"/>
        <v/>
      </c>
      <c r="J35" s="38" t="str">
        <f ca="1">IF(B35="","",'Hidden-Forecast Calculations'!L28)</f>
        <v/>
      </c>
      <c r="K35" s="54"/>
      <c r="L35" s="40"/>
      <c r="M35" s="40"/>
      <c r="N35" s="58" t="str">
        <f t="shared" ca="1" si="3"/>
        <v/>
      </c>
      <c r="O35" s="36" t="str">
        <f t="shared" ca="1" si="4"/>
        <v/>
      </c>
      <c r="P35" s="36" t="str">
        <f t="shared" ca="1" si="5"/>
        <v/>
      </c>
      <c r="Q35" s="54"/>
      <c r="R35" s="40"/>
      <c r="S35" s="97"/>
      <c r="T35" s="35" t="str">
        <f ca="1">'Hidden-Forecast Calculations'!R28</f>
        <v/>
      </c>
      <c r="U35" s="35" t="str">
        <f ca="1">'Hidden-Forecast Calculations'!S28</f>
        <v/>
      </c>
      <c r="V35" s="200" t="str">
        <f ca="1">'Hidden-Forecast Calculations'!T28</f>
        <v/>
      </c>
    </row>
    <row r="36" spans="2:22" ht="20.100000000000001" customHeight="1" x14ac:dyDescent="0.2">
      <c r="B36" s="42" t="str">
        <f ca="1">'Hidden-Forecast Calculations'!E29</f>
        <v/>
      </c>
      <c r="C36" s="36" t="str">
        <f ca="1">IF(B36="","",COUNTIF(EmployeeTable[Role],B36))</f>
        <v/>
      </c>
      <c r="D36" s="70" t="str">
        <f ca="1">IF(COUNTIF(EmployeeTable[Role],B36)=0,"",COUNTIFS(EmployeeTable[Role],B36,EmployeeTable[Over 55],1)/COUNTIF(EmployeeTable[Role],B36))</f>
        <v/>
      </c>
      <c r="E36" s="36" t="str">
        <f ca="1">IF(B36="","",'Hidden-Forecast Calculations'!G29)</f>
        <v/>
      </c>
      <c r="F36" s="37"/>
      <c r="G36" s="58" t="str">
        <f t="shared" ca="1" si="0"/>
        <v/>
      </c>
      <c r="H36" s="36" t="str">
        <f t="shared" ca="1" si="1"/>
        <v/>
      </c>
      <c r="I36" s="36" t="str">
        <f t="shared" ca="1" si="2"/>
        <v/>
      </c>
      <c r="J36" s="38" t="str">
        <f ca="1">IF(B36="","",'Hidden-Forecast Calculations'!L29)</f>
        <v/>
      </c>
      <c r="K36" s="54"/>
      <c r="L36" s="40"/>
      <c r="M36" s="40"/>
      <c r="N36" s="58" t="str">
        <f t="shared" ca="1" si="3"/>
        <v/>
      </c>
      <c r="O36" s="36" t="str">
        <f t="shared" ca="1" si="4"/>
        <v/>
      </c>
      <c r="P36" s="36" t="str">
        <f t="shared" ca="1" si="5"/>
        <v/>
      </c>
      <c r="Q36" s="54"/>
      <c r="R36" s="40"/>
      <c r="S36" s="97"/>
      <c r="T36" s="35" t="str">
        <f ca="1">'Hidden-Forecast Calculations'!R29</f>
        <v/>
      </c>
      <c r="U36" s="35" t="str">
        <f ca="1">'Hidden-Forecast Calculations'!S29</f>
        <v/>
      </c>
      <c r="V36" s="200" t="str">
        <f ca="1">'Hidden-Forecast Calculations'!T29</f>
        <v/>
      </c>
    </row>
    <row r="37" spans="2:22" ht="20.100000000000001" customHeight="1" x14ac:dyDescent="0.2">
      <c r="B37" s="42" t="str">
        <f ca="1">'Hidden-Forecast Calculations'!E30</f>
        <v/>
      </c>
      <c r="C37" s="36" t="str">
        <f ca="1">IF(B37="","",COUNTIF(EmployeeTable[Role],B37))</f>
        <v/>
      </c>
      <c r="D37" s="70" t="str">
        <f ca="1">IF(COUNTIF(EmployeeTable[Role],B37)=0,"",COUNTIFS(EmployeeTable[Role],B37,EmployeeTable[Over 55],1)/COUNTIF(EmployeeTable[Role],B37))</f>
        <v/>
      </c>
      <c r="E37" s="36" t="str">
        <f ca="1">IF(B37="","",'Hidden-Forecast Calculations'!G30)</f>
        <v/>
      </c>
      <c r="F37" s="37"/>
      <c r="G37" s="58" t="str">
        <f t="shared" ca="1" si="0"/>
        <v/>
      </c>
      <c r="H37" s="36" t="str">
        <f t="shared" ca="1" si="1"/>
        <v/>
      </c>
      <c r="I37" s="36" t="str">
        <f t="shared" ca="1" si="2"/>
        <v/>
      </c>
      <c r="J37" s="38" t="str">
        <f ca="1">IF(B37="","",'Hidden-Forecast Calculations'!L30)</f>
        <v/>
      </c>
      <c r="K37" s="54"/>
      <c r="L37" s="40"/>
      <c r="M37" s="40"/>
      <c r="N37" s="58" t="str">
        <f t="shared" ca="1" si="3"/>
        <v/>
      </c>
      <c r="O37" s="36" t="str">
        <f t="shared" ca="1" si="4"/>
        <v/>
      </c>
      <c r="P37" s="36" t="str">
        <f t="shared" ca="1" si="5"/>
        <v/>
      </c>
      <c r="Q37" s="54"/>
      <c r="R37" s="40"/>
      <c r="S37" s="97"/>
      <c r="T37" s="35" t="str">
        <f ca="1">'Hidden-Forecast Calculations'!R30</f>
        <v/>
      </c>
      <c r="U37" s="35" t="str">
        <f ca="1">'Hidden-Forecast Calculations'!S30</f>
        <v/>
      </c>
      <c r="V37" s="200" t="str">
        <f ca="1">'Hidden-Forecast Calculations'!T30</f>
        <v/>
      </c>
    </row>
    <row r="38" spans="2:22" ht="20.100000000000001" customHeight="1" x14ac:dyDescent="0.2">
      <c r="B38" s="42" t="str">
        <f ca="1">'Hidden-Forecast Calculations'!E31</f>
        <v/>
      </c>
      <c r="C38" s="36" t="str">
        <f ca="1">IF(B38="","",COUNTIF(EmployeeTable[Role],B38))</f>
        <v/>
      </c>
      <c r="D38" s="70" t="str">
        <f ca="1">IF(COUNTIF(EmployeeTable[Role],B38)=0,"",COUNTIFS(EmployeeTable[Role],B38,EmployeeTable[Over 55],1)/COUNTIF(EmployeeTable[Role],B38))</f>
        <v/>
      </c>
      <c r="E38" s="36" t="str">
        <f ca="1">IF(B38="","",'Hidden-Forecast Calculations'!G31)</f>
        <v/>
      </c>
      <c r="F38" s="37"/>
      <c r="G38" s="58" t="str">
        <f t="shared" ca="1" si="0"/>
        <v/>
      </c>
      <c r="H38" s="36" t="str">
        <f t="shared" ca="1" si="1"/>
        <v/>
      </c>
      <c r="I38" s="36" t="str">
        <f t="shared" ca="1" si="2"/>
        <v/>
      </c>
      <c r="J38" s="38" t="str">
        <f ca="1">IF(B38="","",'Hidden-Forecast Calculations'!L31)</f>
        <v/>
      </c>
      <c r="K38" s="54"/>
      <c r="L38" s="40"/>
      <c r="M38" s="40"/>
      <c r="N38" s="58" t="str">
        <f t="shared" ca="1" si="3"/>
        <v/>
      </c>
      <c r="O38" s="36" t="str">
        <f t="shared" ca="1" si="4"/>
        <v/>
      </c>
      <c r="P38" s="36" t="str">
        <f t="shared" ca="1" si="5"/>
        <v/>
      </c>
      <c r="Q38" s="54"/>
      <c r="R38" s="40"/>
      <c r="S38" s="97"/>
      <c r="T38" s="35" t="str">
        <f ca="1">'Hidden-Forecast Calculations'!R31</f>
        <v/>
      </c>
      <c r="U38" s="35" t="str">
        <f ca="1">'Hidden-Forecast Calculations'!S31</f>
        <v/>
      </c>
      <c r="V38" s="200" t="str">
        <f ca="1">'Hidden-Forecast Calculations'!T31</f>
        <v/>
      </c>
    </row>
    <row r="39" spans="2:22" ht="20.100000000000001" customHeight="1" x14ac:dyDescent="0.2">
      <c r="B39" s="42" t="str">
        <f ca="1">'Hidden-Forecast Calculations'!E32</f>
        <v/>
      </c>
      <c r="C39" s="36" t="str">
        <f ca="1">IF(B39="","",COUNTIF(EmployeeTable[Role],B39))</f>
        <v/>
      </c>
      <c r="D39" s="70" t="str">
        <f ca="1">IF(COUNTIF(EmployeeTable[Role],B39)=0,"",COUNTIFS(EmployeeTable[Role],B39,EmployeeTable[Over 55],1)/COUNTIF(EmployeeTable[Role],B39))</f>
        <v/>
      </c>
      <c r="E39" s="36" t="str">
        <f ca="1">IF(B39="","",'Hidden-Forecast Calculations'!G32)</f>
        <v/>
      </c>
      <c r="F39" s="37"/>
      <c r="G39" s="58" t="str">
        <f t="shared" ca="1" si="0"/>
        <v/>
      </c>
      <c r="H39" s="36" t="str">
        <f t="shared" ca="1" si="1"/>
        <v/>
      </c>
      <c r="I39" s="36" t="str">
        <f t="shared" ca="1" si="2"/>
        <v/>
      </c>
      <c r="J39" s="38" t="str">
        <f ca="1">IF(B39="","",'Hidden-Forecast Calculations'!L32)</f>
        <v/>
      </c>
      <c r="K39" s="54"/>
      <c r="L39" s="40"/>
      <c r="M39" s="40"/>
      <c r="N39" s="58" t="str">
        <f t="shared" ca="1" si="3"/>
        <v/>
      </c>
      <c r="O39" s="36" t="str">
        <f t="shared" ca="1" si="4"/>
        <v/>
      </c>
      <c r="P39" s="36" t="str">
        <f t="shared" ca="1" si="5"/>
        <v/>
      </c>
      <c r="Q39" s="54"/>
      <c r="R39" s="40"/>
      <c r="S39" s="97"/>
      <c r="T39" s="35" t="str">
        <f ca="1">'Hidden-Forecast Calculations'!R32</f>
        <v/>
      </c>
      <c r="U39" s="35" t="str">
        <f ca="1">'Hidden-Forecast Calculations'!S32</f>
        <v/>
      </c>
      <c r="V39" s="200" t="str">
        <f ca="1">'Hidden-Forecast Calculations'!T32</f>
        <v/>
      </c>
    </row>
    <row r="40" spans="2:22" ht="20.100000000000001" customHeight="1" x14ac:dyDescent="0.2">
      <c r="B40" s="42" t="str">
        <f ca="1">'Hidden-Forecast Calculations'!E33</f>
        <v/>
      </c>
      <c r="C40" s="36" t="str">
        <f ca="1">IF(B40="","",COUNTIF(EmployeeTable[Role],B40))</f>
        <v/>
      </c>
      <c r="D40" s="70" t="str">
        <f ca="1">IF(COUNTIF(EmployeeTable[Role],B40)=0,"",COUNTIFS(EmployeeTable[Role],B40,EmployeeTable[Over 55],1)/COUNTIF(EmployeeTable[Role],B40))</f>
        <v/>
      </c>
      <c r="E40" s="36" t="str">
        <f ca="1">IF(B40="","",'Hidden-Forecast Calculations'!G33)</f>
        <v/>
      </c>
      <c r="F40" s="37"/>
      <c r="G40" s="58" t="str">
        <f t="shared" ca="1" si="0"/>
        <v/>
      </c>
      <c r="H40" s="36" t="str">
        <f t="shared" ca="1" si="1"/>
        <v/>
      </c>
      <c r="I40" s="36" t="str">
        <f t="shared" ca="1" si="2"/>
        <v/>
      </c>
      <c r="J40" s="38" t="str">
        <f ca="1">IF(B40="","",'Hidden-Forecast Calculations'!L33)</f>
        <v/>
      </c>
      <c r="K40" s="54"/>
      <c r="L40" s="40"/>
      <c r="M40" s="40"/>
      <c r="N40" s="58" t="str">
        <f t="shared" ca="1" si="3"/>
        <v/>
      </c>
      <c r="O40" s="36" t="str">
        <f t="shared" ca="1" si="4"/>
        <v/>
      </c>
      <c r="P40" s="36" t="str">
        <f t="shared" ca="1" si="5"/>
        <v/>
      </c>
      <c r="Q40" s="54"/>
      <c r="R40" s="40"/>
      <c r="S40" s="97"/>
      <c r="T40" s="35" t="str">
        <f ca="1">'Hidden-Forecast Calculations'!R33</f>
        <v/>
      </c>
      <c r="U40" s="35" t="str">
        <f ca="1">'Hidden-Forecast Calculations'!S33</f>
        <v/>
      </c>
      <c r="V40" s="200" t="str">
        <f ca="1">'Hidden-Forecast Calculations'!T33</f>
        <v/>
      </c>
    </row>
    <row r="41" spans="2:22" ht="20.100000000000001" customHeight="1" x14ac:dyDescent="0.2">
      <c r="B41" s="42" t="str">
        <f ca="1">'Hidden-Forecast Calculations'!E34</f>
        <v/>
      </c>
      <c r="C41" s="36" t="str">
        <f ca="1">IF(B41="","",COUNTIF(EmployeeTable[Role],B41))</f>
        <v/>
      </c>
      <c r="D41" s="70" t="str">
        <f ca="1">IF(COUNTIF(EmployeeTable[Role],B41)=0,"",COUNTIFS(EmployeeTable[Role],B41,EmployeeTable[Over 55],1)/COUNTIF(EmployeeTable[Role],B41))</f>
        <v/>
      </c>
      <c r="E41" s="36" t="str">
        <f ca="1">IF(B41="","",'Hidden-Forecast Calculations'!G34)</f>
        <v/>
      </c>
      <c r="F41" s="37"/>
      <c r="G41" s="58" t="str">
        <f t="shared" ca="1" si="0"/>
        <v/>
      </c>
      <c r="H41" s="36" t="str">
        <f t="shared" ca="1" si="1"/>
        <v/>
      </c>
      <c r="I41" s="36" t="str">
        <f t="shared" ca="1" si="2"/>
        <v/>
      </c>
      <c r="J41" s="38" t="str">
        <f ca="1">IF(B41="","",'Hidden-Forecast Calculations'!L34)</f>
        <v/>
      </c>
      <c r="K41" s="54"/>
      <c r="L41" s="40"/>
      <c r="M41" s="40"/>
      <c r="N41" s="58" t="str">
        <f t="shared" ca="1" si="3"/>
        <v/>
      </c>
      <c r="O41" s="36" t="str">
        <f t="shared" ca="1" si="4"/>
        <v/>
      </c>
      <c r="P41" s="36" t="str">
        <f t="shared" ca="1" si="5"/>
        <v/>
      </c>
      <c r="Q41" s="54"/>
      <c r="R41" s="40"/>
      <c r="S41" s="97"/>
      <c r="T41" s="35" t="str">
        <f ca="1">'Hidden-Forecast Calculations'!R34</f>
        <v/>
      </c>
      <c r="U41" s="35" t="str">
        <f ca="1">'Hidden-Forecast Calculations'!S34</f>
        <v/>
      </c>
      <c r="V41" s="200" t="str">
        <f ca="1">'Hidden-Forecast Calculations'!T34</f>
        <v/>
      </c>
    </row>
    <row r="42" spans="2:22" ht="20.100000000000001" customHeight="1" x14ac:dyDescent="0.2">
      <c r="B42" s="42" t="str">
        <f ca="1">'Hidden-Forecast Calculations'!E35</f>
        <v/>
      </c>
      <c r="C42" s="36" t="str">
        <f ca="1">IF(B42="","",COUNTIF(EmployeeTable[Role],B42))</f>
        <v/>
      </c>
      <c r="D42" s="70" t="str">
        <f ca="1">IF(COUNTIF(EmployeeTable[Role],B42)=0,"",COUNTIFS(EmployeeTable[Role],B42,EmployeeTable[Over 55],1)/COUNTIF(EmployeeTable[Role],B42))</f>
        <v/>
      </c>
      <c r="E42" s="36" t="str">
        <f ca="1">IF(B42="","",'Hidden-Forecast Calculations'!G35)</f>
        <v/>
      </c>
      <c r="F42" s="37"/>
      <c r="G42" s="58" t="str">
        <f t="shared" ca="1" si="0"/>
        <v/>
      </c>
      <c r="H42" s="36" t="str">
        <f t="shared" ca="1" si="1"/>
        <v/>
      </c>
      <c r="I42" s="36" t="str">
        <f t="shared" ca="1" si="2"/>
        <v/>
      </c>
      <c r="J42" s="38" t="str">
        <f ca="1">IF(B42="","",'Hidden-Forecast Calculations'!L35)</f>
        <v/>
      </c>
      <c r="K42" s="54"/>
      <c r="L42" s="40"/>
      <c r="M42" s="40"/>
      <c r="N42" s="58" t="str">
        <f t="shared" ca="1" si="3"/>
        <v/>
      </c>
      <c r="O42" s="36" t="str">
        <f t="shared" ca="1" si="4"/>
        <v/>
      </c>
      <c r="P42" s="36" t="str">
        <f t="shared" ca="1" si="5"/>
        <v/>
      </c>
      <c r="Q42" s="54"/>
      <c r="R42" s="40"/>
      <c r="S42" s="97"/>
      <c r="T42" s="35" t="str">
        <f ca="1">'Hidden-Forecast Calculations'!R35</f>
        <v/>
      </c>
      <c r="U42" s="35" t="str">
        <f ca="1">'Hidden-Forecast Calculations'!S35</f>
        <v/>
      </c>
      <c r="V42" s="200" t="str">
        <f ca="1">'Hidden-Forecast Calculations'!T35</f>
        <v/>
      </c>
    </row>
    <row r="43" spans="2:22" ht="20.100000000000001" customHeight="1" x14ac:dyDescent="0.2">
      <c r="B43" s="42" t="str">
        <f ca="1">'Hidden-Forecast Calculations'!E36</f>
        <v/>
      </c>
      <c r="C43" s="36" t="str">
        <f ca="1">IF(B43="","",COUNTIF(EmployeeTable[Role],B43))</f>
        <v/>
      </c>
      <c r="D43" s="70" t="str">
        <f ca="1">IF(COUNTIF(EmployeeTable[Role],B43)=0,"",COUNTIFS(EmployeeTable[Role],B43,EmployeeTable[Over 55],1)/COUNTIF(EmployeeTable[Role],B43))</f>
        <v/>
      </c>
      <c r="E43" s="36" t="str">
        <f ca="1">IF(B43="","",'Hidden-Forecast Calculations'!G36)</f>
        <v/>
      </c>
      <c r="F43" s="37"/>
      <c r="G43" s="58" t="str">
        <f t="shared" ca="1" si="0"/>
        <v/>
      </c>
      <c r="H43" s="36" t="str">
        <f t="shared" ca="1" si="1"/>
        <v/>
      </c>
      <c r="I43" s="36" t="str">
        <f t="shared" ca="1" si="2"/>
        <v/>
      </c>
      <c r="J43" s="38" t="str">
        <f ca="1">IF(B43="","",'Hidden-Forecast Calculations'!L36)</f>
        <v/>
      </c>
      <c r="K43" s="54"/>
      <c r="L43" s="40"/>
      <c r="M43" s="40"/>
      <c r="N43" s="58" t="str">
        <f t="shared" ca="1" si="3"/>
        <v/>
      </c>
      <c r="O43" s="36" t="str">
        <f t="shared" ca="1" si="4"/>
        <v/>
      </c>
      <c r="P43" s="36" t="str">
        <f t="shared" ca="1" si="5"/>
        <v/>
      </c>
      <c r="Q43" s="54"/>
      <c r="R43" s="40"/>
      <c r="S43" s="97"/>
      <c r="T43" s="35" t="str">
        <f ca="1">'Hidden-Forecast Calculations'!R36</f>
        <v/>
      </c>
      <c r="U43" s="35" t="str">
        <f ca="1">'Hidden-Forecast Calculations'!S36</f>
        <v/>
      </c>
      <c r="V43" s="200" t="str">
        <f ca="1">'Hidden-Forecast Calculations'!T36</f>
        <v/>
      </c>
    </row>
    <row r="44" spans="2:22" ht="20.100000000000001" customHeight="1" x14ac:dyDescent="0.2">
      <c r="B44" s="42" t="str">
        <f ca="1">'Hidden-Forecast Calculations'!E37</f>
        <v/>
      </c>
      <c r="C44" s="36" t="str">
        <f ca="1">IF(B44="","",COUNTIF(EmployeeTable[Role],B44))</f>
        <v/>
      </c>
      <c r="D44" s="70" t="str">
        <f ca="1">IF(COUNTIF(EmployeeTable[Role],B44)=0,"",COUNTIFS(EmployeeTable[Role],B44,EmployeeTable[Over 55],1)/COUNTIF(EmployeeTable[Role],B44))</f>
        <v/>
      </c>
      <c r="E44" s="36" t="str">
        <f ca="1">IF(B44="","",'Hidden-Forecast Calculations'!G37)</f>
        <v/>
      </c>
      <c r="F44" s="37"/>
      <c r="G44" s="58" t="str">
        <f t="shared" ca="1" si="0"/>
        <v/>
      </c>
      <c r="H44" s="36" t="str">
        <f t="shared" ca="1" si="1"/>
        <v/>
      </c>
      <c r="I44" s="36" t="str">
        <f t="shared" ca="1" si="2"/>
        <v/>
      </c>
      <c r="J44" s="38" t="str">
        <f ca="1">IF(B44="","",'Hidden-Forecast Calculations'!L37)</f>
        <v/>
      </c>
      <c r="K44" s="54"/>
      <c r="L44" s="40"/>
      <c r="M44" s="40"/>
      <c r="N44" s="58" t="str">
        <f t="shared" ca="1" si="3"/>
        <v/>
      </c>
      <c r="O44" s="36" t="str">
        <f t="shared" ca="1" si="4"/>
        <v/>
      </c>
      <c r="P44" s="36" t="str">
        <f t="shared" ca="1" si="5"/>
        <v/>
      </c>
      <c r="Q44" s="54"/>
      <c r="R44" s="40"/>
      <c r="S44" s="97"/>
      <c r="T44" s="35" t="str">
        <f ca="1">'Hidden-Forecast Calculations'!R37</f>
        <v/>
      </c>
      <c r="U44" s="35" t="str">
        <f ca="1">'Hidden-Forecast Calculations'!S37</f>
        <v/>
      </c>
      <c r="V44" s="200" t="str">
        <f ca="1">'Hidden-Forecast Calculations'!T37</f>
        <v/>
      </c>
    </row>
    <row r="45" spans="2:22" ht="20.100000000000001" customHeight="1" x14ac:dyDescent="0.2">
      <c r="B45" s="42" t="str">
        <f ca="1">'Hidden-Forecast Calculations'!E38</f>
        <v/>
      </c>
      <c r="C45" s="36" t="str">
        <f ca="1">IF(B45="","",COUNTIF(EmployeeTable[Role],B45))</f>
        <v/>
      </c>
      <c r="D45" s="70" t="str">
        <f ca="1">IF(COUNTIF(EmployeeTable[Role],B45)=0,"",COUNTIFS(EmployeeTable[Role],B45,EmployeeTable[Over 55],1)/COUNTIF(EmployeeTable[Role],B45))</f>
        <v/>
      </c>
      <c r="E45" s="36" t="str">
        <f ca="1">IF(B45="","",'Hidden-Forecast Calculations'!G38)</f>
        <v/>
      </c>
      <c r="F45" s="37"/>
      <c r="G45" s="58" t="str">
        <f t="shared" ca="1" si="0"/>
        <v/>
      </c>
      <c r="H45" s="36" t="str">
        <f t="shared" ca="1" si="1"/>
        <v/>
      </c>
      <c r="I45" s="36" t="str">
        <f t="shared" ca="1" si="2"/>
        <v/>
      </c>
      <c r="J45" s="38" t="str">
        <f ca="1">IF(B45="","",'Hidden-Forecast Calculations'!L38)</f>
        <v/>
      </c>
      <c r="K45" s="54"/>
      <c r="L45" s="40"/>
      <c r="M45" s="40"/>
      <c r="N45" s="58" t="str">
        <f t="shared" ca="1" si="3"/>
        <v/>
      </c>
      <c r="O45" s="36" t="str">
        <f t="shared" ca="1" si="4"/>
        <v/>
      </c>
      <c r="P45" s="36" t="str">
        <f t="shared" ca="1" si="5"/>
        <v/>
      </c>
      <c r="Q45" s="54"/>
      <c r="R45" s="40"/>
      <c r="S45" s="97"/>
      <c r="T45" s="35" t="str">
        <f ca="1">'Hidden-Forecast Calculations'!R38</f>
        <v/>
      </c>
      <c r="U45" s="35" t="str">
        <f ca="1">'Hidden-Forecast Calculations'!S38</f>
        <v/>
      </c>
      <c r="V45" s="200" t="str">
        <f ca="1">'Hidden-Forecast Calculations'!T38</f>
        <v/>
      </c>
    </row>
    <row r="46" spans="2:22" ht="20.100000000000001" customHeight="1" x14ac:dyDescent="0.2">
      <c r="B46" s="42" t="str">
        <f ca="1">'Hidden-Forecast Calculations'!E39</f>
        <v/>
      </c>
      <c r="C46" s="36" t="str">
        <f ca="1">IF(B46="","",COUNTIF(EmployeeTable[Role],B46))</f>
        <v/>
      </c>
      <c r="D46" s="70" t="str">
        <f ca="1">IF(COUNTIF(EmployeeTable[Role],B46)=0,"",COUNTIFS(EmployeeTable[Role],B46,EmployeeTable[Over 55],1)/COUNTIF(EmployeeTable[Role],B46))</f>
        <v/>
      </c>
      <c r="E46" s="36" t="str">
        <f ca="1">IF(B46="","",'Hidden-Forecast Calculations'!G39)</f>
        <v/>
      </c>
      <c r="F46" s="37"/>
      <c r="G46" s="58" t="str">
        <f t="shared" ca="1" si="0"/>
        <v/>
      </c>
      <c r="H46" s="36" t="str">
        <f t="shared" ca="1" si="1"/>
        <v/>
      </c>
      <c r="I46" s="36" t="str">
        <f t="shared" ca="1" si="2"/>
        <v/>
      </c>
      <c r="J46" s="38" t="str">
        <f ca="1">IF(B46="","",'Hidden-Forecast Calculations'!L39)</f>
        <v/>
      </c>
      <c r="K46" s="54"/>
      <c r="L46" s="40"/>
      <c r="M46" s="40"/>
      <c r="N46" s="58" t="str">
        <f t="shared" ca="1" si="3"/>
        <v/>
      </c>
      <c r="O46" s="36" t="str">
        <f t="shared" ca="1" si="4"/>
        <v/>
      </c>
      <c r="P46" s="36" t="str">
        <f t="shared" ca="1" si="5"/>
        <v/>
      </c>
      <c r="Q46" s="54"/>
      <c r="R46" s="40"/>
      <c r="S46" s="97"/>
      <c r="T46" s="35" t="str">
        <f ca="1">'Hidden-Forecast Calculations'!R39</f>
        <v/>
      </c>
      <c r="U46" s="35" t="str">
        <f ca="1">'Hidden-Forecast Calculations'!S39</f>
        <v/>
      </c>
      <c r="V46" s="200" t="str">
        <f ca="1">'Hidden-Forecast Calculations'!T39</f>
        <v/>
      </c>
    </row>
    <row r="47" spans="2:22" ht="20.100000000000001" customHeight="1" x14ac:dyDescent="0.2">
      <c r="B47" s="42" t="str">
        <f ca="1">'Hidden-Forecast Calculations'!E40</f>
        <v/>
      </c>
      <c r="C47" s="36" t="str">
        <f ca="1">IF(B47="","",COUNTIF(EmployeeTable[Role],B47))</f>
        <v/>
      </c>
      <c r="D47" s="70" t="str">
        <f ca="1">IF(COUNTIF(EmployeeTable[Role],B47)=0,"",COUNTIFS(EmployeeTable[Role],B47,EmployeeTable[Over 55],1)/COUNTIF(EmployeeTable[Role],B47))</f>
        <v/>
      </c>
      <c r="E47" s="36" t="str">
        <f ca="1">IF(B47="","",'Hidden-Forecast Calculations'!G40)</f>
        <v/>
      </c>
      <c r="F47" s="37"/>
      <c r="G47" s="58" t="str">
        <f t="shared" ca="1" si="0"/>
        <v/>
      </c>
      <c r="H47" s="36" t="str">
        <f t="shared" ca="1" si="1"/>
        <v/>
      </c>
      <c r="I47" s="36" t="str">
        <f t="shared" ca="1" si="2"/>
        <v/>
      </c>
      <c r="J47" s="38" t="str">
        <f ca="1">IF(B47="","",'Hidden-Forecast Calculations'!L40)</f>
        <v/>
      </c>
      <c r="K47" s="54"/>
      <c r="L47" s="40"/>
      <c r="M47" s="40"/>
      <c r="N47" s="58" t="str">
        <f t="shared" ca="1" si="3"/>
        <v/>
      </c>
      <c r="O47" s="36" t="str">
        <f t="shared" ca="1" si="4"/>
        <v/>
      </c>
      <c r="P47" s="36" t="str">
        <f t="shared" ca="1" si="5"/>
        <v/>
      </c>
      <c r="Q47" s="54"/>
      <c r="R47" s="40"/>
      <c r="S47" s="97"/>
      <c r="T47" s="35" t="str">
        <f ca="1">'Hidden-Forecast Calculations'!R40</f>
        <v/>
      </c>
      <c r="U47" s="35" t="str">
        <f ca="1">'Hidden-Forecast Calculations'!S40</f>
        <v/>
      </c>
      <c r="V47" s="200" t="str">
        <f ca="1">'Hidden-Forecast Calculations'!T40</f>
        <v/>
      </c>
    </row>
    <row r="48" spans="2:22" ht="20.100000000000001" customHeight="1" x14ac:dyDescent="0.2">
      <c r="B48" s="42" t="str">
        <f ca="1">'Hidden-Forecast Calculations'!E41</f>
        <v/>
      </c>
      <c r="C48" s="36" t="str">
        <f ca="1">IF(B48="","",COUNTIF(EmployeeTable[Role],B48))</f>
        <v/>
      </c>
      <c r="D48" s="70" t="str">
        <f ca="1">IF(COUNTIF(EmployeeTable[Role],B48)=0,"",COUNTIFS(EmployeeTable[Role],B48,EmployeeTable[Over 55],1)/COUNTIF(EmployeeTable[Role],B48))</f>
        <v/>
      </c>
      <c r="E48" s="36" t="str">
        <f ca="1">IF(B48="","",'Hidden-Forecast Calculations'!G41)</f>
        <v/>
      </c>
      <c r="F48" s="37"/>
      <c r="G48" s="58" t="str">
        <f t="shared" ca="1" si="0"/>
        <v/>
      </c>
      <c r="H48" s="36" t="str">
        <f t="shared" ca="1" si="1"/>
        <v/>
      </c>
      <c r="I48" s="36" t="str">
        <f t="shared" ca="1" si="2"/>
        <v/>
      </c>
      <c r="J48" s="38" t="str">
        <f ca="1">IF(B48="","",'Hidden-Forecast Calculations'!L41)</f>
        <v/>
      </c>
      <c r="K48" s="54"/>
      <c r="L48" s="40"/>
      <c r="M48" s="40"/>
      <c r="N48" s="58" t="str">
        <f t="shared" ca="1" si="3"/>
        <v/>
      </c>
      <c r="O48" s="36" t="str">
        <f t="shared" ca="1" si="4"/>
        <v/>
      </c>
      <c r="P48" s="36" t="str">
        <f t="shared" ca="1" si="5"/>
        <v/>
      </c>
      <c r="Q48" s="54"/>
      <c r="R48" s="40"/>
      <c r="S48" s="97"/>
      <c r="T48" s="35" t="str">
        <f ca="1">'Hidden-Forecast Calculations'!R41</f>
        <v/>
      </c>
      <c r="U48" s="35" t="str">
        <f ca="1">'Hidden-Forecast Calculations'!S41</f>
        <v/>
      </c>
      <c r="V48" s="200" t="str">
        <f ca="1">'Hidden-Forecast Calculations'!T41</f>
        <v/>
      </c>
    </row>
    <row r="49" spans="2:22" ht="20.100000000000001" customHeight="1" x14ac:dyDescent="0.2">
      <c r="B49" s="42" t="str">
        <f ca="1">'Hidden-Forecast Calculations'!E42</f>
        <v/>
      </c>
      <c r="C49" s="36" t="str">
        <f ca="1">IF(B49="","",COUNTIF(EmployeeTable[Role],B49))</f>
        <v/>
      </c>
      <c r="D49" s="70" t="str">
        <f ca="1">IF(COUNTIF(EmployeeTable[Role],B49)=0,"",COUNTIFS(EmployeeTable[Role],B49,EmployeeTable[Over 55],1)/COUNTIF(EmployeeTable[Role],B49))</f>
        <v/>
      </c>
      <c r="E49" s="36" t="str">
        <f ca="1">IF(B49="","",'Hidden-Forecast Calculations'!G42)</f>
        <v/>
      </c>
      <c r="F49" s="37"/>
      <c r="G49" s="58" t="str">
        <f t="shared" ca="1" si="0"/>
        <v/>
      </c>
      <c r="H49" s="36" t="str">
        <f t="shared" ca="1" si="1"/>
        <v/>
      </c>
      <c r="I49" s="36" t="str">
        <f t="shared" ca="1" si="2"/>
        <v/>
      </c>
      <c r="J49" s="38" t="str">
        <f ca="1">IF(B49="","",'Hidden-Forecast Calculations'!L42)</f>
        <v/>
      </c>
      <c r="K49" s="54"/>
      <c r="L49" s="40"/>
      <c r="M49" s="40"/>
      <c r="N49" s="58" t="str">
        <f t="shared" ca="1" si="3"/>
        <v/>
      </c>
      <c r="O49" s="36" t="str">
        <f t="shared" ca="1" si="4"/>
        <v/>
      </c>
      <c r="P49" s="36" t="str">
        <f t="shared" ca="1" si="5"/>
        <v/>
      </c>
      <c r="Q49" s="54"/>
      <c r="R49" s="40"/>
      <c r="S49" s="97"/>
      <c r="T49" s="35" t="str">
        <f ca="1">'Hidden-Forecast Calculations'!R42</f>
        <v/>
      </c>
      <c r="U49" s="35" t="str">
        <f ca="1">'Hidden-Forecast Calculations'!S42</f>
        <v/>
      </c>
      <c r="V49" s="200" t="str">
        <f ca="1">'Hidden-Forecast Calculations'!T42</f>
        <v/>
      </c>
    </row>
    <row r="50" spans="2:22" ht="20.100000000000001" customHeight="1" x14ac:dyDescent="0.2">
      <c r="B50" s="42" t="str">
        <f ca="1">'Hidden-Forecast Calculations'!E43</f>
        <v/>
      </c>
      <c r="C50" s="36" t="str">
        <f ca="1">IF(B50="","",COUNTIF(EmployeeTable[Role],B50))</f>
        <v/>
      </c>
      <c r="D50" s="70" t="str">
        <f ca="1">IF(COUNTIF(EmployeeTable[Role],B50)=0,"",COUNTIFS(EmployeeTable[Role],B50,EmployeeTable[Over 55],1)/COUNTIF(EmployeeTable[Role],B50))</f>
        <v/>
      </c>
      <c r="E50" s="36" t="str">
        <f ca="1">IF(B50="","",'Hidden-Forecast Calculations'!G43)</f>
        <v/>
      </c>
      <c r="F50" s="37"/>
      <c r="G50" s="58" t="str">
        <f t="shared" ca="1" si="0"/>
        <v/>
      </c>
      <c r="H50" s="36" t="str">
        <f t="shared" ca="1" si="1"/>
        <v/>
      </c>
      <c r="I50" s="36" t="str">
        <f t="shared" ca="1" si="2"/>
        <v/>
      </c>
      <c r="J50" s="38" t="str">
        <f ca="1">IF(B50="","",'Hidden-Forecast Calculations'!L43)</f>
        <v/>
      </c>
      <c r="K50" s="54"/>
      <c r="L50" s="40"/>
      <c r="M50" s="40"/>
      <c r="N50" s="58" t="str">
        <f t="shared" ca="1" si="3"/>
        <v/>
      </c>
      <c r="O50" s="36" t="str">
        <f t="shared" ca="1" si="4"/>
        <v/>
      </c>
      <c r="P50" s="36" t="str">
        <f t="shared" ca="1" si="5"/>
        <v/>
      </c>
      <c r="Q50" s="54"/>
      <c r="R50" s="40"/>
      <c r="S50" s="97"/>
      <c r="T50" s="35" t="str">
        <f ca="1">'Hidden-Forecast Calculations'!R43</f>
        <v/>
      </c>
      <c r="U50" s="35" t="str">
        <f ca="1">'Hidden-Forecast Calculations'!S43</f>
        <v/>
      </c>
      <c r="V50" s="200" t="str">
        <f ca="1">'Hidden-Forecast Calculations'!T43</f>
        <v/>
      </c>
    </row>
    <row r="51" spans="2:22" ht="20.100000000000001" customHeight="1" x14ac:dyDescent="0.2">
      <c r="B51" s="42" t="str">
        <f ca="1">'Hidden-Forecast Calculations'!E44</f>
        <v/>
      </c>
      <c r="C51" s="36" t="str">
        <f ca="1">IF(B51="","",COUNTIF(EmployeeTable[Role],B51))</f>
        <v/>
      </c>
      <c r="D51" s="70" t="str">
        <f ca="1">IF(COUNTIF(EmployeeTable[Role],B51)=0,"",COUNTIFS(EmployeeTable[Role],B51,EmployeeTable[Over 55],1)/COUNTIF(EmployeeTable[Role],B51))</f>
        <v/>
      </c>
      <c r="E51" s="36" t="str">
        <f ca="1">IF(B51="","",'Hidden-Forecast Calculations'!G44)</f>
        <v/>
      </c>
      <c r="F51" s="37"/>
      <c r="G51" s="58" t="str">
        <f t="shared" ca="1" si="0"/>
        <v/>
      </c>
      <c r="H51" s="36" t="str">
        <f t="shared" ca="1" si="1"/>
        <v/>
      </c>
      <c r="I51" s="36" t="str">
        <f t="shared" ca="1" si="2"/>
        <v/>
      </c>
      <c r="J51" s="38" t="str">
        <f ca="1">IF(B51="","",'Hidden-Forecast Calculations'!L44)</f>
        <v/>
      </c>
      <c r="K51" s="54"/>
      <c r="L51" s="40"/>
      <c r="M51" s="40"/>
      <c r="N51" s="58" t="str">
        <f t="shared" ca="1" si="3"/>
        <v/>
      </c>
      <c r="O51" s="36" t="str">
        <f t="shared" ca="1" si="4"/>
        <v/>
      </c>
      <c r="P51" s="36" t="str">
        <f t="shared" ca="1" si="5"/>
        <v/>
      </c>
      <c r="Q51" s="54"/>
      <c r="R51" s="40"/>
      <c r="S51" s="97"/>
      <c r="T51" s="35" t="str">
        <f ca="1">'Hidden-Forecast Calculations'!R44</f>
        <v/>
      </c>
      <c r="U51" s="35" t="str">
        <f ca="1">'Hidden-Forecast Calculations'!S44</f>
        <v/>
      </c>
      <c r="V51" s="200" t="str">
        <f ca="1">'Hidden-Forecast Calculations'!T44</f>
        <v/>
      </c>
    </row>
    <row r="52" spans="2:22" ht="20.100000000000001" customHeight="1" x14ac:dyDescent="0.2">
      <c r="B52" s="42" t="str">
        <f ca="1">'Hidden-Forecast Calculations'!E45</f>
        <v/>
      </c>
      <c r="C52" s="36" t="str">
        <f ca="1">IF(B52="","",COUNTIF(EmployeeTable[Role],B52))</f>
        <v/>
      </c>
      <c r="D52" s="70" t="str">
        <f ca="1">IF(COUNTIF(EmployeeTable[Role],B52)=0,"",COUNTIFS(EmployeeTable[Role],B52,EmployeeTable[Over 55],1)/COUNTIF(EmployeeTable[Role],B52))</f>
        <v/>
      </c>
      <c r="E52" s="36" t="str">
        <f ca="1">IF(B52="","",'Hidden-Forecast Calculations'!G45)</f>
        <v/>
      </c>
      <c r="F52" s="37"/>
      <c r="G52" s="58" t="str">
        <f t="shared" ca="1" si="0"/>
        <v/>
      </c>
      <c r="H52" s="36" t="str">
        <f t="shared" ca="1" si="1"/>
        <v/>
      </c>
      <c r="I52" s="36" t="str">
        <f t="shared" ca="1" si="2"/>
        <v/>
      </c>
      <c r="J52" s="38" t="str">
        <f ca="1">IF(B52="","",'Hidden-Forecast Calculations'!L45)</f>
        <v/>
      </c>
      <c r="K52" s="54"/>
      <c r="L52" s="40"/>
      <c r="M52" s="40"/>
      <c r="N52" s="58" t="str">
        <f t="shared" ca="1" si="3"/>
        <v/>
      </c>
      <c r="O52" s="36" t="str">
        <f t="shared" ca="1" si="4"/>
        <v/>
      </c>
      <c r="P52" s="36" t="str">
        <f t="shared" ca="1" si="5"/>
        <v/>
      </c>
      <c r="Q52" s="54"/>
      <c r="R52" s="40"/>
      <c r="S52" s="97"/>
      <c r="T52" s="35" t="str">
        <f ca="1">'Hidden-Forecast Calculations'!R45</f>
        <v/>
      </c>
      <c r="U52" s="35" t="str">
        <f ca="1">'Hidden-Forecast Calculations'!S45</f>
        <v/>
      </c>
      <c r="V52" s="200" t="str">
        <f ca="1">'Hidden-Forecast Calculations'!T45</f>
        <v/>
      </c>
    </row>
    <row r="53" spans="2:22" ht="20.100000000000001" customHeight="1" x14ac:dyDescent="0.2">
      <c r="B53" s="42" t="str">
        <f ca="1">'Hidden-Forecast Calculations'!E46</f>
        <v/>
      </c>
      <c r="C53" s="36" t="str">
        <f ca="1">IF(B53="","",COUNTIF(EmployeeTable[Role],B53))</f>
        <v/>
      </c>
      <c r="D53" s="70" t="str">
        <f ca="1">IF(COUNTIF(EmployeeTable[Role],B53)=0,"",COUNTIFS(EmployeeTable[Role],B53,EmployeeTable[Over 55],1)/COUNTIF(EmployeeTable[Role],B53))</f>
        <v/>
      </c>
      <c r="E53" s="36" t="str">
        <f ca="1">IF(B53="","",'Hidden-Forecast Calculations'!G46)</f>
        <v/>
      </c>
      <c r="F53" s="37"/>
      <c r="G53" s="58" t="str">
        <f t="shared" ca="1" si="0"/>
        <v/>
      </c>
      <c r="H53" s="36" t="str">
        <f t="shared" ca="1" si="1"/>
        <v/>
      </c>
      <c r="I53" s="36" t="str">
        <f t="shared" ca="1" si="2"/>
        <v/>
      </c>
      <c r="J53" s="38" t="str">
        <f ca="1">IF(B53="","",'Hidden-Forecast Calculations'!L46)</f>
        <v/>
      </c>
      <c r="K53" s="54"/>
      <c r="L53" s="40"/>
      <c r="M53" s="40"/>
      <c r="N53" s="58" t="str">
        <f t="shared" ca="1" si="3"/>
        <v/>
      </c>
      <c r="O53" s="36" t="str">
        <f t="shared" ca="1" si="4"/>
        <v/>
      </c>
      <c r="P53" s="36" t="str">
        <f t="shared" ca="1" si="5"/>
        <v/>
      </c>
      <c r="Q53" s="54"/>
      <c r="R53" s="40"/>
      <c r="S53" s="97"/>
      <c r="T53" s="35" t="str">
        <f ca="1">'Hidden-Forecast Calculations'!R46</f>
        <v/>
      </c>
      <c r="U53" s="35" t="str">
        <f ca="1">'Hidden-Forecast Calculations'!S46</f>
        <v/>
      </c>
      <c r="V53" s="200" t="str">
        <f ca="1">'Hidden-Forecast Calculations'!T46</f>
        <v/>
      </c>
    </row>
    <row r="54" spans="2:22" ht="20.100000000000001" customHeight="1" x14ac:dyDescent="0.2">
      <c r="B54" s="42" t="str">
        <f ca="1">'Hidden-Forecast Calculations'!E47</f>
        <v/>
      </c>
      <c r="C54" s="36" t="str">
        <f ca="1">IF(B54="","",COUNTIF(EmployeeTable[Role],B54))</f>
        <v/>
      </c>
      <c r="D54" s="70" t="str">
        <f ca="1">IF(COUNTIF(EmployeeTable[Role],B54)=0,"",COUNTIFS(EmployeeTable[Role],B54,EmployeeTable[Over 55],1)/COUNTIF(EmployeeTable[Role],B54))</f>
        <v/>
      </c>
      <c r="E54" s="36" t="str">
        <f ca="1">IF(B54="","",'Hidden-Forecast Calculations'!G47)</f>
        <v/>
      </c>
      <c r="F54" s="37"/>
      <c r="G54" s="58" t="str">
        <f t="shared" ca="1" si="0"/>
        <v/>
      </c>
      <c r="H54" s="36" t="str">
        <f t="shared" ca="1" si="1"/>
        <v/>
      </c>
      <c r="I54" s="36" t="str">
        <f t="shared" ca="1" si="2"/>
        <v/>
      </c>
      <c r="J54" s="38" t="str">
        <f ca="1">IF(B54="","",'Hidden-Forecast Calculations'!L47)</f>
        <v/>
      </c>
      <c r="K54" s="54"/>
      <c r="L54" s="40"/>
      <c r="M54" s="40"/>
      <c r="N54" s="58" t="str">
        <f t="shared" ca="1" si="3"/>
        <v/>
      </c>
      <c r="O54" s="36" t="str">
        <f t="shared" ca="1" si="4"/>
        <v/>
      </c>
      <c r="P54" s="36" t="str">
        <f t="shared" ca="1" si="5"/>
        <v/>
      </c>
      <c r="Q54" s="54"/>
      <c r="R54" s="40"/>
      <c r="S54" s="97"/>
      <c r="T54" s="35" t="str">
        <f ca="1">'Hidden-Forecast Calculations'!R47</f>
        <v/>
      </c>
      <c r="U54" s="35" t="str">
        <f ca="1">'Hidden-Forecast Calculations'!S47</f>
        <v/>
      </c>
      <c r="V54" s="200" t="str">
        <f ca="1">'Hidden-Forecast Calculations'!T47</f>
        <v/>
      </c>
    </row>
    <row r="55" spans="2:22" ht="20.100000000000001" customHeight="1" x14ac:dyDescent="0.2">
      <c r="B55" s="42" t="str">
        <f ca="1">'Hidden-Forecast Calculations'!E48</f>
        <v/>
      </c>
      <c r="C55" s="36" t="str">
        <f ca="1">IF(B55="","",COUNTIF(EmployeeTable[Role],B55))</f>
        <v/>
      </c>
      <c r="D55" s="70" t="str">
        <f ca="1">IF(COUNTIF(EmployeeTable[Role],B55)=0,"",COUNTIFS(EmployeeTable[Role],B55,EmployeeTable[Over 55],1)/COUNTIF(EmployeeTable[Role],B55))</f>
        <v/>
      </c>
      <c r="E55" s="36" t="str">
        <f ca="1">IF(B55="","",'Hidden-Forecast Calculations'!G48)</f>
        <v/>
      </c>
      <c r="F55" s="37"/>
      <c r="G55" s="58" t="str">
        <f t="shared" ca="1" si="0"/>
        <v/>
      </c>
      <c r="H55" s="36" t="str">
        <f t="shared" ca="1" si="1"/>
        <v/>
      </c>
      <c r="I55" s="36" t="str">
        <f t="shared" ca="1" si="2"/>
        <v/>
      </c>
      <c r="J55" s="38" t="str">
        <f ca="1">IF(B55="","",'Hidden-Forecast Calculations'!L48)</f>
        <v/>
      </c>
      <c r="K55" s="54"/>
      <c r="L55" s="40"/>
      <c r="M55" s="40"/>
      <c r="N55" s="58" t="str">
        <f t="shared" ca="1" si="3"/>
        <v/>
      </c>
      <c r="O55" s="36" t="str">
        <f t="shared" ca="1" si="4"/>
        <v/>
      </c>
      <c r="P55" s="36" t="str">
        <f t="shared" ca="1" si="5"/>
        <v/>
      </c>
      <c r="Q55" s="54"/>
      <c r="R55" s="40"/>
      <c r="S55" s="97"/>
      <c r="T55" s="35" t="str">
        <f ca="1">'Hidden-Forecast Calculations'!R48</f>
        <v/>
      </c>
      <c r="U55" s="35" t="str">
        <f ca="1">'Hidden-Forecast Calculations'!S48</f>
        <v/>
      </c>
      <c r="V55" s="200" t="str">
        <f ca="1">'Hidden-Forecast Calculations'!T48</f>
        <v/>
      </c>
    </row>
    <row r="56" spans="2:22" ht="20.100000000000001" customHeight="1" x14ac:dyDescent="0.2">
      <c r="B56" s="42" t="str">
        <f ca="1">'Hidden-Forecast Calculations'!E49</f>
        <v/>
      </c>
      <c r="C56" s="36" t="str">
        <f ca="1">IF(B56="","",COUNTIF(EmployeeTable[Role],B56))</f>
        <v/>
      </c>
      <c r="D56" s="70" t="str">
        <f ca="1">IF(COUNTIF(EmployeeTable[Role],B56)=0,"",COUNTIFS(EmployeeTable[Role],B56,EmployeeTable[Over 55],1)/COUNTIF(EmployeeTable[Role],B56))</f>
        <v/>
      </c>
      <c r="E56" s="36" t="str">
        <f ca="1">IF(B56="","",'Hidden-Forecast Calculations'!G49)</f>
        <v/>
      </c>
      <c r="F56" s="37"/>
      <c r="G56" s="58" t="str">
        <f t="shared" ca="1" si="0"/>
        <v/>
      </c>
      <c r="H56" s="36" t="str">
        <f t="shared" ca="1" si="1"/>
        <v/>
      </c>
      <c r="I56" s="36" t="str">
        <f t="shared" ca="1" si="2"/>
        <v/>
      </c>
      <c r="J56" s="38" t="str">
        <f ca="1">IF(B56="","",'Hidden-Forecast Calculations'!L49)</f>
        <v/>
      </c>
      <c r="K56" s="54"/>
      <c r="L56" s="40"/>
      <c r="M56" s="40"/>
      <c r="N56" s="58" t="str">
        <f t="shared" ca="1" si="3"/>
        <v/>
      </c>
      <c r="O56" s="36" t="str">
        <f t="shared" ca="1" si="4"/>
        <v/>
      </c>
      <c r="P56" s="36" t="str">
        <f t="shared" ca="1" si="5"/>
        <v/>
      </c>
      <c r="Q56" s="54"/>
      <c r="R56" s="40"/>
      <c r="S56" s="97"/>
      <c r="T56" s="35" t="str">
        <f ca="1">'Hidden-Forecast Calculations'!R49</f>
        <v/>
      </c>
      <c r="U56" s="35" t="str">
        <f ca="1">'Hidden-Forecast Calculations'!S49</f>
        <v/>
      </c>
      <c r="V56" s="200" t="str">
        <f ca="1">'Hidden-Forecast Calculations'!T49</f>
        <v/>
      </c>
    </row>
    <row r="57" spans="2:22" ht="20.100000000000001" customHeight="1" x14ac:dyDescent="0.2">
      <c r="B57" s="42" t="str">
        <f ca="1">'Hidden-Forecast Calculations'!E50</f>
        <v/>
      </c>
      <c r="C57" s="36" t="str">
        <f ca="1">IF(B57="","",COUNTIF(EmployeeTable[Role],B57))</f>
        <v/>
      </c>
      <c r="D57" s="70" t="str">
        <f ca="1">IF(COUNTIF(EmployeeTable[Role],B57)=0,"",COUNTIFS(EmployeeTable[Role],B57,EmployeeTable[Over 55],1)/COUNTIF(EmployeeTable[Role],B57))</f>
        <v/>
      </c>
      <c r="E57" s="36" t="str">
        <f ca="1">IF(B57="","",'Hidden-Forecast Calculations'!G50)</f>
        <v/>
      </c>
      <c r="F57" s="37"/>
      <c r="G57" s="58" t="str">
        <f t="shared" ca="1" si="0"/>
        <v/>
      </c>
      <c r="H57" s="36" t="str">
        <f t="shared" ca="1" si="1"/>
        <v/>
      </c>
      <c r="I57" s="36" t="str">
        <f t="shared" ca="1" si="2"/>
        <v/>
      </c>
      <c r="J57" s="38" t="str">
        <f ca="1">IF(B57="","",'Hidden-Forecast Calculations'!L50)</f>
        <v/>
      </c>
      <c r="K57" s="54"/>
      <c r="L57" s="40"/>
      <c r="M57" s="40"/>
      <c r="N57" s="58" t="str">
        <f t="shared" ca="1" si="3"/>
        <v/>
      </c>
      <c r="O57" s="36" t="str">
        <f t="shared" ca="1" si="4"/>
        <v/>
      </c>
      <c r="P57" s="36" t="str">
        <f t="shared" ca="1" si="5"/>
        <v/>
      </c>
      <c r="Q57" s="54"/>
      <c r="R57" s="40"/>
      <c r="S57" s="97"/>
      <c r="T57" s="35" t="str">
        <f ca="1">'Hidden-Forecast Calculations'!R50</f>
        <v/>
      </c>
      <c r="U57" s="35" t="str">
        <f ca="1">'Hidden-Forecast Calculations'!S50</f>
        <v/>
      </c>
      <c r="V57" s="200" t="str">
        <f ca="1">'Hidden-Forecast Calculations'!T50</f>
        <v/>
      </c>
    </row>
    <row r="58" spans="2:22" ht="20.100000000000001" customHeight="1" x14ac:dyDescent="0.2">
      <c r="B58" s="42" t="str">
        <f ca="1">'Hidden-Forecast Calculations'!E51</f>
        <v/>
      </c>
      <c r="C58" s="36" t="str">
        <f ca="1">IF(B58="","",COUNTIF(EmployeeTable[Role],B58))</f>
        <v/>
      </c>
      <c r="D58" s="70" t="str">
        <f ca="1">IF(COUNTIF(EmployeeTable[Role],B58)=0,"",COUNTIFS(EmployeeTable[Role],B58,EmployeeTable[Over 55],1)/COUNTIF(EmployeeTable[Role],B58))</f>
        <v/>
      </c>
      <c r="E58" s="36" t="str">
        <f ca="1">IF(B58="","",'Hidden-Forecast Calculations'!G51)</f>
        <v/>
      </c>
      <c r="F58" s="37"/>
      <c r="G58" s="58" t="str">
        <f t="shared" ca="1" si="0"/>
        <v/>
      </c>
      <c r="H58" s="36" t="str">
        <f t="shared" ca="1" si="1"/>
        <v/>
      </c>
      <c r="I58" s="36" t="str">
        <f t="shared" ca="1" si="2"/>
        <v/>
      </c>
      <c r="J58" s="38" t="str">
        <f ca="1">IF(B58="","",'Hidden-Forecast Calculations'!L51)</f>
        <v/>
      </c>
      <c r="K58" s="54"/>
      <c r="L58" s="40"/>
      <c r="M58" s="40"/>
      <c r="N58" s="58" t="str">
        <f t="shared" ca="1" si="3"/>
        <v/>
      </c>
      <c r="O58" s="36" t="str">
        <f t="shared" ca="1" si="4"/>
        <v/>
      </c>
      <c r="P58" s="36" t="str">
        <f t="shared" ca="1" si="5"/>
        <v/>
      </c>
      <c r="Q58" s="54"/>
      <c r="R58" s="40"/>
      <c r="S58" s="97"/>
      <c r="T58" s="35" t="str">
        <f ca="1">'Hidden-Forecast Calculations'!R51</f>
        <v/>
      </c>
      <c r="U58" s="35" t="str">
        <f ca="1">'Hidden-Forecast Calculations'!S51</f>
        <v/>
      </c>
      <c r="V58" s="200" t="str">
        <f ca="1">'Hidden-Forecast Calculations'!T51</f>
        <v/>
      </c>
    </row>
    <row r="59" spans="2:22" ht="20.100000000000001" customHeight="1" x14ac:dyDescent="0.2">
      <c r="B59" s="42" t="str">
        <f ca="1">'Hidden-Forecast Calculations'!E52</f>
        <v/>
      </c>
      <c r="C59" s="36" t="str">
        <f ca="1">IF(B59="","",COUNTIF(EmployeeTable[Role],B59))</f>
        <v/>
      </c>
      <c r="D59" s="70" t="str">
        <f ca="1">IF(COUNTIF(EmployeeTable[Role],B59)=0,"",COUNTIFS(EmployeeTable[Role],B59,EmployeeTable[Over 55],1)/COUNTIF(EmployeeTable[Role],B59))</f>
        <v/>
      </c>
      <c r="E59" s="36" t="str">
        <f ca="1">IF(B59="","",'Hidden-Forecast Calculations'!G52)</f>
        <v/>
      </c>
      <c r="F59" s="37"/>
      <c r="G59" s="58" t="str">
        <f t="shared" ca="1" si="0"/>
        <v/>
      </c>
      <c r="H59" s="36" t="str">
        <f t="shared" ca="1" si="1"/>
        <v/>
      </c>
      <c r="I59" s="36" t="str">
        <f t="shared" ca="1" si="2"/>
        <v/>
      </c>
      <c r="J59" s="38" t="str">
        <f ca="1">IF(B59="","",'Hidden-Forecast Calculations'!L52)</f>
        <v/>
      </c>
      <c r="K59" s="54"/>
      <c r="L59" s="40"/>
      <c r="M59" s="40"/>
      <c r="N59" s="58" t="str">
        <f t="shared" ca="1" si="3"/>
        <v/>
      </c>
      <c r="O59" s="36" t="str">
        <f t="shared" ca="1" si="4"/>
        <v/>
      </c>
      <c r="P59" s="36" t="str">
        <f t="shared" ca="1" si="5"/>
        <v/>
      </c>
      <c r="Q59" s="54"/>
      <c r="R59" s="40"/>
      <c r="S59" s="97"/>
      <c r="T59" s="35" t="str">
        <f ca="1">'Hidden-Forecast Calculations'!R52</f>
        <v/>
      </c>
      <c r="U59" s="35" t="str">
        <f ca="1">'Hidden-Forecast Calculations'!S52</f>
        <v/>
      </c>
      <c r="V59" s="200" t="str">
        <f ca="1">'Hidden-Forecast Calculations'!T52</f>
        <v/>
      </c>
    </row>
    <row r="60" spans="2:22" ht="20.100000000000001" customHeight="1" x14ac:dyDescent="0.2">
      <c r="B60" s="42" t="str">
        <f ca="1">'Hidden-Forecast Calculations'!E53</f>
        <v/>
      </c>
      <c r="C60" s="36" t="str">
        <f ca="1">IF(B60="","",COUNTIF(EmployeeTable[Role],B60))</f>
        <v/>
      </c>
      <c r="D60" s="70" t="str">
        <f ca="1">IF(COUNTIF(EmployeeTable[Role],B60)=0,"",COUNTIFS(EmployeeTable[Role],B60,EmployeeTable[Over 55],1)/COUNTIF(EmployeeTable[Role],B60))</f>
        <v/>
      </c>
      <c r="E60" s="36" t="str">
        <f ca="1">IF(B60="","",'Hidden-Forecast Calculations'!G53)</f>
        <v/>
      </c>
      <c r="F60" s="37"/>
      <c r="G60" s="58" t="str">
        <f t="shared" ca="1" si="0"/>
        <v/>
      </c>
      <c r="H60" s="36" t="str">
        <f t="shared" ca="1" si="1"/>
        <v/>
      </c>
      <c r="I60" s="36" t="str">
        <f t="shared" ca="1" si="2"/>
        <v/>
      </c>
      <c r="J60" s="38" t="str">
        <f ca="1">IF(B60="","",'Hidden-Forecast Calculations'!L53)</f>
        <v/>
      </c>
      <c r="K60" s="54"/>
      <c r="L60" s="40"/>
      <c r="M60" s="40"/>
      <c r="N60" s="58" t="str">
        <f t="shared" ca="1" si="3"/>
        <v/>
      </c>
      <c r="O60" s="36" t="str">
        <f t="shared" ca="1" si="4"/>
        <v/>
      </c>
      <c r="P60" s="36" t="str">
        <f t="shared" ca="1" si="5"/>
        <v/>
      </c>
      <c r="Q60" s="54"/>
      <c r="R60" s="40"/>
      <c r="S60" s="97"/>
      <c r="T60" s="35" t="str">
        <f ca="1">'Hidden-Forecast Calculations'!R53</f>
        <v/>
      </c>
      <c r="U60" s="35" t="str">
        <f ca="1">'Hidden-Forecast Calculations'!S53</f>
        <v/>
      </c>
      <c r="V60" s="200" t="str">
        <f ca="1">'Hidden-Forecast Calculations'!T53</f>
        <v/>
      </c>
    </row>
    <row r="61" spans="2:22" ht="20.100000000000001" customHeight="1" x14ac:dyDescent="0.2">
      <c r="B61" s="42" t="str">
        <f ca="1">'Hidden-Forecast Calculations'!E54</f>
        <v/>
      </c>
      <c r="C61" s="36" t="str">
        <f ca="1">IF(B61="","",COUNTIF(EmployeeTable[Role],B61))</f>
        <v/>
      </c>
      <c r="D61" s="70" t="str">
        <f ca="1">IF(COUNTIF(EmployeeTable[Role],B61)=0,"",COUNTIFS(EmployeeTable[Role],B61,EmployeeTable[Over 55],1)/COUNTIF(EmployeeTable[Role],B61))</f>
        <v/>
      </c>
      <c r="E61" s="36" t="str">
        <f ca="1">IF(B61="","",'Hidden-Forecast Calculations'!G54)</f>
        <v/>
      </c>
      <c r="F61" s="37"/>
      <c r="G61" s="58" t="str">
        <f t="shared" ca="1" si="0"/>
        <v/>
      </c>
      <c r="H61" s="36" t="str">
        <f t="shared" ca="1" si="1"/>
        <v/>
      </c>
      <c r="I61" s="36" t="str">
        <f t="shared" ca="1" si="2"/>
        <v/>
      </c>
      <c r="J61" s="38" t="str">
        <f ca="1">IF(B61="","",'Hidden-Forecast Calculations'!L54)</f>
        <v/>
      </c>
      <c r="K61" s="54"/>
      <c r="L61" s="40"/>
      <c r="M61" s="40"/>
      <c r="N61" s="58" t="str">
        <f t="shared" ca="1" si="3"/>
        <v/>
      </c>
      <c r="O61" s="36" t="str">
        <f t="shared" ca="1" si="4"/>
        <v/>
      </c>
      <c r="P61" s="36" t="str">
        <f t="shared" ca="1" si="5"/>
        <v/>
      </c>
      <c r="Q61" s="54"/>
      <c r="R61" s="40"/>
      <c r="S61" s="97"/>
      <c r="T61" s="35" t="str">
        <f ca="1">'Hidden-Forecast Calculations'!R54</f>
        <v/>
      </c>
      <c r="U61" s="35" t="str">
        <f ca="1">'Hidden-Forecast Calculations'!S54</f>
        <v/>
      </c>
      <c r="V61" s="200" t="str">
        <f ca="1">'Hidden-Forecast Calculations'!T54</f>
        <v/>
      </c>
    </row>
    <row r="62" spans="2:22" ht="20.100000000000001" customHeight="1" x14ac:dyDescent="0.2">
      <c r="B62" s="42" t="str">
        <f ca="1">'Hidden-Forecast Calculations'!E55</f>
        <v/>
      </c>
      <c r="C62" s="36" t="str">
        <f ca="1">IF(B62="","",COUNTIF(EmployeeTable[Role],B62))</f>
        <v/>
      </c>
      <c r="D62" s="70" t="str">
        <f ca="1">IF(COUNTIF(EmployeeTable[Role],B62)=0,"",COUNTIFS(EmployeeTable[Role],B62,EmployeeTable[Over 55],1)/COUNTIF(EmployeeTable[Role],B62))</f>
        <v/>
      </c>
      <c r="E62" s="36" t="str">
        <f ca="1">IF(B62="","",'Hidden-Forecast Calculations'!G55)</f>
        <v/>
      </c>
      <c r="F62" s="37"/>
      <c r="G62" s="58" t="str">
        <f t="shared" ca="1" si="0"/>
        <v/>
      </c>
      <c r="H62" s="36" t="str">
        <f t="shared" ca="1" si="1"/>
        <v/>
      </c>
      <c r="I62" s="36" t="str">
        <f t="shared" ca="1" si="2"/>
        <v/>
      </c>
      <c r="J62" s="38" t="str">
        <f ca="1">IF(B62="","",'Hidden-Forecast Calculations'!L55)</f>
        <v/>
      </c>
      <c r="K62" s="54"/>
      <c r="L62" s="40"/>
      <c r="M62" s="40"/>
      <c r="N62" s="58" t="str">
        <f t="shared" ca="1" si="3"/>
        <v/>
      </c>
      <c r="O62" s="36" t="str">
        <f t="shared" ca="1" si="4"/>
        <v/>
      </c>
      <c r="P62" s="36" t="str">
        <f t="shared" ca="1" si="5"/>
        <v/>
      </c>
      <c r="Q62" s="54"/>
      <c r="R62" s="40"/>
      <c r="S62" s="97"/>
      <c r="T62" s="35" t="str">
        <f ca="1">'Hidden-Forecast Calculations'!R55</f>
        <v/>
      </c>
      <c r="U62" s="35" t="str">
        <f ca="1">'Hidden-Forecast Calculations'!S55</f>
        <v/>
      </c>
      <c r="V62" s="200" t="str">
        <f ca="1">'Hidden-Forecast Calculations'!T55</f>
        <v/>
      </c>
    </row>
    <row r="63" spans="2:22" ht="20.100000000000001" customHeight="1" x14ac:dyDescent="0.2">
      <c r="B63" s="42" t="str">
        <f ca="1">'Hidden-Forecast Calculations'!E56</f>
        <v/>
      </c>
      <c r="C63" s="36" t="str">
        <f ca="1">IF(B63="","",COUNTIF(EmployeeTable[Role],B63))</f>
        <v/>
      </c>
      <c r="D63" s="70" t="str">
        <f ca="1">IF(COUNTIF(EmployeeTable[Role],B63)=0,"",COUNTIFS(EmployeeTable[Role],B63,EmployeeTable[Over 55],1)/COUNTIF(EmployeeTable[Role],B63))</f>
        <v/>
      </c>
      <c r="E63" s="36" t="str">
        <f ca="1">IF(B63="","",'Hidden-Forecast Calculations'!G56)</f>
        <v/>
      </c>
      <c r="F63" s="37"/>
      <c r="G63" s="58" t="str">
        <f t="shared" ca="1" si="0"/>
        <v/>
      </c>
      <c r="H63" s="36" t="str">
        <f t="shared" ca="1" si="1"/>
        <v/>
      </c>
      <c r="I63" s="36" t="str">
        <f t="shared" ca="1" si="2"/>
        <v/>
      </c>
      <c r="J63" s="38" t="str">
        <f ca="1">IF(B63="","",'Hidden-Forecast Calculations'!L56)</f>
        <v/>
      </c>
      <c r="K63" s="54"/>
      <c r="L63" s="40"/>
      <c r="M63" s="40"/>
      <c r="N63" s="58" t="str">
        <f t="shared" ca="1" si="3"/>
        <v/>
      </c>
      <c r="O63" s="36" t="str">
        <f t="shared" ca="1" si="4"/>
        <v/>
      </c>
      <c r="P63" s="36" t="str">
        <f t="shared" ca="1" si="5"/>
        <v/>
      </c>
      <c r="Q63" s="54"/>
      <c r="R63" s="40"/>
      <c r="S63" s="97"/>
      <c r="T63" s="35" t="str">
        <f ca="1">'Hidden-Forecast Calculations'!R56</f>
        <v/>
      </c>
      <c r="U63" s="35" t="str">
        <f ca="1">'Hidden-Forecast Calculations'!S56</f>
        <v/>
      </c>
      <c r="V63" s="200" t="str">
        <f ca="1">'Hidden-Forecast Calculations'!T56</f>
        <v/>
      </c>
    </row>
    <row r="64" spans="2:22" ht="20.100000000000001" customHeight="1" x14ac:dyDescent="0.2">
      <c r="B64" s="42" t="str">
        <f ca="1">'Hidden-Forecast Calculations'!E57</f>
        <v/>
      </c>
      <c r="C64" s="36" t="str">
        <f ca="1">IF(B64="","",COUNTIF(EmployeeTable[Role],B64))</f>
        <v/>
      </c>
      <c r="D64" s="70" t="str">
        <f ca="1">IF(COUNTIF(EmployeeTable[Role],B64)=0,"",COUNTIFS(EmployeeTable[Role],B64,EmployeeTable[Over 55],1)/COUNTIF(EmployeeTable[Role],B64))</f>
        <v/>
      </c>
      <c r="E64" s="36" t="str">
        <f ca="1">IF(B64="","",'Hidden-Forecast Calculations'!G57)</f>
        <v/>
      </c>
      <c r="F64" s="37"/>
      <c r="G64" s="58" t="str">
        <f t="shared" ca="1" si="0"/>
        <v/>
      </c>
      <c r="H64" s="36" t="str">
        <f t="shared" ca="1" si="1"/>
        <v/>
      </c>
      <c r="I64" s="36" t="str">
        <f t="shared" ca="1" si="2"/>
        <v/>
      </c>
      <c r="J64" s="38" t="str">
        <f ca="1">IF(B64="","",'Hidden-Forecast Calculations'!L57)</f>
        <v/>
      </c>
      <c r="K64" s="54"/>
      <c r="L64" s="40"/>
      <c r="M64" s="40"/>
      <c r="N64" s="58" t="str">
        <f t="shared" ca="1" si="3"/>
        <v/>
      </c>
      <c r="O64" s="36" t="str">
        <f t="shared" ca="1" si="4"/>
        <v/>
      </c>
      <c r="P64" s="36" t="str">
        <f t="shared" ca="1" si="5"/>
        <v/>
      </c>
      <c r="Q64" s="54"/>
      <c r="R64" s="40"/>
      <c r="S64" s="97"/>
      <c r="T64" s="35" t="str">
        <f ca="1">'Hidden-Forecast Calculations'!R57</f>
        <v/>
      </c>
      <c r="U64" s="35" t="str">
        <f ca="1">'Hidden-Forecast Calculations'!S57</f>
        <v/>
      </c>
      <c r="V64" s="200" t="str">
        <f ca="1">'Hidden-Forecast Calculations'!T57</f>
        <v/>
      </c>
    </row>
    <row r="65" spans="2:22" ht="20.100000000000001" customHeight="1" x14ac:dyDescent="0.2">
      <c r="B65" s="42" t="str">
        <f ca="1">'Hidden-Forecast Calculations'!E58</f>
        <v/>
      </c>
      <c r="C65" s="36" t="str">
        <f ca="1">IF(B65="","",COUNTIF(EmployeeTable[Role],B65))</f>
        <v/>
      </c>
      <c r="D65" s="70" t="str">
        <f ca="1">IF(COUNTIF(EmployeeTable[Role],B65)=0,"",COUNTIFS(EmployeeTable[Role],B65,EmployeeTable[Over 55],1)/COUNTIF(EmployeeTable[Role],B65))</f>
        <v/>
      </c>
      <c r="E65" s="36" t="str">
        <f ca="1">IF(B65="","",'Hidden-Forecast Calculations'!G58)</f>
        <v/>
      </c>
      <c r="F65" s="37"/>
      <c r="G65" s="58" t="str">
        <f t="shared" ca="1" si="0"/>
        <v/>
      </c>
      <c r="H65" s="36" t="str">
        <f t="shared" ca="1" si="1"/>
        <v/>
      </c>
      <c r="I65" s="36" t="str">
        <f t="shared" ca="1" si="2"/>
        <v/>
      </c>
      <c r="J65" s="38" t="str">
        <f ca="1">IF(B65="","",'Hidden-Forecast Calculations'!L58)</f>
        <v/>
      </c>
      <c r="K65" s="54"/>
      <c r="L65" s="40"/>
      <c r="M65" s="40"/>
      <c r="N65" s="58" t="str">
        <f t="shared" ca="1" si="3"/>
        <v/>
      </c>
      <c r="O65" s="36" t="str">
        <f t="shared" ca="1" si="4"/>
        <v/>
      </c>
      <c r="P65" s="36" t="str">
        <f t="shared" ca="1" si="5"/>
        <v/>
      </c>
      <c r="Q65" s="54"/>
      <c r="R65" s="40"/>
      <c r="S65" s="97"/>
      <c r="T65" s="35" t="str">
        <f ca="1">'Hidden-Forecast Calculations'!R58</f>
        <v/>
      </c>
      <c r="U65" s="35" t="str">
        <f ca="1">'Hidden-Forecast Calculations'!S58</f>
        <v/>
      </c>
      <c r="V65" s="200" t="str">
        <f ca="1">'Hidden-Forecast Calculations'!T58</f>
        <v/>
      </c>
    </row>
    <row r="66" spans="2:22" ht="20.100000000000001" customHeight="1" x14ac:dyDescent="0.2">
      <c r="B66" s="42" t="str">
        <f ca="1">'Hidden-Forecast Calculations'!E59</f>
        <v/>
      </c>
      <c r="C66" s="36" t="str">
        <f ca="1">IF(B66="","",COUNTIF(EmployeeTable[Role],B66))</f>
        <v/>
      </c>
      <c r="D66" s="70" t="str">
        <f ca="1">IF(COUNTIF(EmployeeTable[Role],B66)=0,"",COUNTIFS(EmployeeTable[Role],B66,EmployeeTable[Over 55],1)/COUNTIF(EmployeeTable[Role],B66))</f>
        <v/>
      </c>
      <c r="E66" s="36" t="str">
        <f ca="1">IF(B66="","",'Hidden-Forecast Calculations'!G59)</f>
        <v/>
      </c>
      <c r="F66" s="37"/>
      <c r="G66" s="58" t="str">
        <f t="shared" ca="1" si="0"/>
        <v/>
      </c>
      <c r="H66" s="36" t="str">
        <f t="shared" ca="1" si="1"/>
        <v/>
      </c>
      <c r="I66" s="36" t="str">
        <f t="shared" ca="1" si="2"/>
        <v/>
      </c>
      <c r="J66" s="38" t="str">
        <f ca="1">IF(B66="","",'Hidden-Forecast Calculations'!L59)</f>
        <v/>
      </c>
      <c r="K66" s="54"/>
      <c r="L66" s="40"/>
      <c r="M66" s="40"/>
      <c r="N66" s="58" t="str">
        <f t="shared" ca="1" si="3"/>
        <v/>
      </c>
      <c r="O66" s="36" t="str">
        <f t="shared" ca="1" si="4"/>
        <v/>
      </c>
      <c r="P66" s="36" t="str">
        <f t="shared" ca="1" si="5"/>
        <v/>
      </c>
      <c r="Q66" s="54"/>
      <c r="R66" s="40"/>
      <c r="S66" s="97"/>
      <c r="T66" s="35" t="str">
        <f ca="1">'Hidden-Forecast Calculations'!R59</f>
        <v/>
      </c>
      <c r="U66" s="35" t="str">
        <f ca="1">'Hidden-Forecast Calculations'!S59</f>
        <v/>
      </c>
      <c r="V66" s="200" t="str">
        <f ca="1">'Hidden-Forecast Calculations'!T59</f>
        <v/>
      </c>
    </row>
    <row r="67" spans="2:22" ht="20.100000000000001" customHeight="1" x14ac:dyDescent="0.2">
      <c r="B67" s="42" t="str">
        <f ca="1">'Hidden-Forecast Calculations'!E60</f>
        <v/>
      </c>
      <c r="C67" s="36" t="str">
        <f ca="1">IF(B67="","",COUNTIF(EmployeeTable[Role],B67))</f>
        <v/>
      </c>
      <c r="D67" s="70" t="str">
        <f ca="1">IF(COUNTIF(EmployeeTable[Role],B67)=0,"",COUNTIFS(EmployeeTable[Role],B67,EmployeeTable[Over 55],1)/COUNTIF(EmployeeTable[Role],B67))</f>
        <v/>
      </c>
      <c r="E67" s="36" t="str">
        <f ca="1">IF(B67="","",'Hidden-Forecast Calculations'!G60)</f>
        <v/>
      </c>
      <c r="F67" s="37"/>
      <c r="G67" s="58" t="str">
        <f t="shared" ca="1" si="0"/>
        <v/>
      </c>
      <c r="H67" s="36" t="str">
        <f t="shared" ca="1" si="1"/>
        <v/>
      </c>
      <c r="I67" s="36" t="str">
        <f t="shared" ca="1" si="2"/>
        <v/>
      </c>
      <c r="J67" s="38" t="str">
        <f ca="1">IF(B67="","",'Hidden-Forecast Calculations'!L60)</f>
        <v/>
      </c>
      <c r="K67" s="54"/>
      <c r="L67" s="40"/>
      <c r="M67" s="40"/>
      <c r="N67" s="58" t="str">
        <f t="shared" ca="1" si="3"/>
        <v/>
      </c>
      <c r="O67" s="36" t="str">
        <f t="shared" ca="1" si="4"/>
        <v/>
      </c>
      <c r="P67" s="36" t="str">
        <f t="shared" ca="1" si="5"/>
        <v/>
      </c>
      <c r="Q67" s="54"/>
      <c r="R67" s="40"/>
      <c r="S67" s="97"/>
      <c r="T67" s="35" t="str">
        <f ca="1">'Hidden-Forecast Calculations'!R60</f>
        <v/>
      </c>
      <c r="U67" s="35" t="str">
        <f ca="1">'Hidden-Forecast Calculations'!S60</f>
        <v/>
      </c>
      <c r="V67" s="200" t="str">
        <f ca="1">'Hidden-Forecast Calculations'!T60</f>
        <v/>
      </c>
    </row>
    <row r="68" spans="2:22" ht="20.100000000000001" customHeight="1" x14ac:dyDescent="0.2">
      <c r="B68" s="42" t="str">
        <f ca="1">'Hidden-Forecast Calculations'!E61</f>
        <v/>
      </c>
      <c r="C68" s="36" t="str">
        <f ca="1">IF(B68="","",COUNTIF(EmployeeTable[Role],B68))</f>
        <v/>
      </c>
      <c r="D68" s="70" t="str">
        <f ca="1">IF(COUNTIF(EmployeeTable[Role],B68)=0,"",COUNTIFS(EmployeeTable[Role],B68,EmployeeTable[Over 55],1)/COUNTIF(EmployeeTable[Role],B68))</f>
        <v/>
      </c>
      <c r="E68" s="36" t="str">
        <f ca="1">IF(B68="","",'Hidden-Forecast Calculations'!G61)</f>
        <v/>
      </c>
      <c r="F68" s="37"/>
      <c r="G68" s="58" t="str">
        <f t="shared" ca="1" si="0"/>
        <v/>
      </c>
      <c r="H68" s="36" t="str">
        <f t="shared" ca="1" si="1"/>
        <v/>
      </c>
      <c r="I68" s="36" t="str">
        <f t="shared" ca="1" si="2"/>
        <v/>
      </c>
      <c r="J68" s="38" t="str">
        <f ca="1">IF(B68="","",'Hidden-Forecast Calculations'!L61)</f>
        <v/>
      </c>
      <c r="K68" s="54"/>
      <c r="L68" s="40"/>
      <c r="M68" s="40"/>
      <c r="N68" s="58" t="str">
        <f t="shared" ca="1" si="3"/>
        <v/>
      </c>
      <c r="O68" s="36" t="str">
        <f t="shared" ca="1" si="4"/>
        <v/>
      </c>
      <c r="P68" s="36" t="str">
        <f t="shared" ca="1" si="5"/>
        <v/>
      </c>
      <c r="Q68" s="54"/>
      <c r="R68" s="40"/>
      <c r="S68" s="97"/>
      <c r="T68" s="35" t="str">
        <f ca="1">'Hidden-Forecast Calculations'!R61</f>
        <v/>
      </c>
      <c r="U68" s="35" t="str">
        <f ca="1">'Hidden-Forecast Calculations'!S61</f>
        <v/>
      </c>
      <c r="V68" s="200" t="str">
        <f ca="1">'Hidden-Forecast Calculations'!T61</f>
        <v/>
      </c>
    </row>
    <row r="69" spans="2:22" ht="20.100000000000001" customHeight="1" x14ac:dyDescent="0.2">
      <c r="B69" s="42" t="str">
        <f ca="1">'Hidden-Forecast Calculations'!E62</f>
        <v/>
      </c>
      <c r="C69" s="36" t="str">
        <f ca="1">IF(B69="","",COUNTIF(EmployeeTable[Role],B69))</f>
        <v/>
      </c>
      <c r="D69" s="70" t="str">
        <f ca="1">IF(COUNTIF(EmployeeTable[Role],B69)=0,"",COUNTIFS(EmployeeTable[Role],B69,EmployeeTable[Over 55],1)/COUNTIF(EmployeeTable[Role],B69))</f>
        <v/>
      </c>
      <c r="E69" s="36" t="str">
        <f ca="1">IF(B69="","",'Hidden-Forecast Calculations'!G62)</f>
        <v/>
      </c>
      <c r="F69" s="37"/>
      <c r="G69" s="58" t="str">
        <f t="shared" ca="1" si="0"/>
        <v/>
      </c>
      <c r="H69" s="36" t="str">
        <f t="shared" ca="1" si="1"/>
        <v/>
      </c>
      <c r="I69" s="36" t="str">
        <f t="shared" ca="1" si="2"/>
        <v/>
      </c>
      <c r="J69" s="38" t="str">
        <f ca="1">IF(B69="","",'Hidden-Forecast Calculations'!L62)</f>
        <v/>
      </c>
      <c r="K69" s="54"/>
      <c r="L69" s="40"/>
      <c r="M69" s="40"/>
      <c r="N69" s="58" t="str">
        <f t="shared" ca="1" si="3"/>
        <v/>
      </c>
      <c r="O69" s="36" t="str">
        <f t="shared" ca="1" si="4"/>
        <v/>
      </c>
      <c r="P69" s="36" t="str">
        <f t="shared" ca="1" si="5"/>
        <v/>
      </c>
      <c r="Q69" s="54"/>
      <c r="R69" s="40"/>
      <c r="S69" s="97"/>
      <c r="T69" s="35" t="str">
        <f ca="1">'Hidden-Forecast Calculations'!R62</f>
        <v/>
      </c>
      <c r="U69" s="35" t="str">
        <f ca="1">'Hidden-Forecast Calculations'!S62</f>
        <v/>
      </c>
      <c r="V69" s="200" t="str">
        <f ca="1">'Hidden-Forecast Calculations'!T62</f>
        <v/>
      </c>
    </row>
    <row r="70" spans="2:22" ht="20.100000000000001" customHeight="1" x14ac:dyDescent="0.2">
      <c r="B70" s="42" t="str">
        <f ca="1">'Hidden-Forecast Calculations'!E63</f>
        <v/>
      </c>
      <c r="C70" s="36" t="str">
        <f ca="1">IF(B70="","",COUNTIF(EmployeeTable[Role],B70))</f>
        <v/>
      </c>
      <c r="D70" s="70" t="str">
        <f ca="1">IF(COUNTIF(EmployeeTable[Role],B70)=0,"",COUNTIFS(EmployeeTable[Role],B70,EmployeeTable[Over 55],1)/COUNTIF(EmployeeTable[Role],B70))</f>
        <v/>
      </c>
      <c r="E70" s="36" t="str">
        <f ca="1">IF(B70="","",'Hidden-Forecast Calculations'!G63)</f>
        <v/>
      </c>
      <c r="F70" s="37"/>
      <c r="G70" s="58" t="str">
        <f t="shared" ca="1" si="0"/>
        <v/>
      </c>
      <c r="H70" s="36" t="str">
        <f t="shared" ca="1" si="1"/>
        <v/>
      </c>
      <c r="I70" s="36" t="str">
        <f t="shared" ca="1" si="2"/>
        <v/>
      </c>
      <c r="J70" s="38" t="str">
        <f ca="1">IF(B70="","",'Hidden-Forecast Calculations'!L63)</f>
        <v/>
      </c>
      <c r="K70" s="54"/>
      <c r="L70" s="40"/>
      <c r="M70" s="40"/>
      <c r="N70" s="58" t="str">
        <f t="shared" ca="1" si="3"/>
        <v/>
      </c>
      <c r="O70" s="36" t="str">
        <f t="shared" ca="1" si="4"/>
        <v/>
      </c>
      <c r="P70" s="36" t="str">
        <f t="shared" ca="1" si="5"/>
        <v/>
      </c>
      <c r="Q70" s="54"/>
      <c r="R70" s="40"/>
      <c r="S70" s="97"/>
      <c r="T70" s="35" t="str">
        <f ca="1">'Hidden-Forecast Calculations'!R63</f>
        <v/>
      </c>
      <c r="U70" s="35" t="str">
        <f ca="1">'Hidden-Forecast Calculations'!S63</f>
        <v/>
      </c>
      <c r="V70" s="200" t="str">
        <f ca="1">'Hidden-Forecast Calculations'!T63</f>
        <v/>
      </c>
    </row>
    <row r="71" spans="2:22" ht="20.100000000000001" customHeight="1" x14ac:dyDescent="0.2">
      <c r="B71" s="42" t="str">
        <f ca="1">'Hidden-Forecast Calculations'!E64</f>
        <v/>
      </c>
      <c r="C71" s="36" t="str">
        <f ca="1">IF(B71="","",COUNTIF(EmployeeTable[Role],B71))</f>
        <v/>
      </c>
      <c r="D71" s="70" t="str">
        <f ca="1">IF(COUNTIF(EmployeeTable[Role],B71)=0,"",COUNTIFS(EmployeeTable[Role],B71,EmployeeTable[Over 55],1)/COUNTIF(EmployeeTable[Role],B71))</f>
        <v/>
      </c>
      <c r="E71" s="36" t="str">
        <f ca="1">IF(B71="","",'Hidden-Forecast Calculations'!G64)</f>
        <v/>
      </c>
      <c r="F71" s="37"/>
      <c r="G71" s="58" t="str">
        <f t="shared" ca="1" si="0"/>
        <v/>
      </c>
      <c r="H71" s="36" t="str">
        <f t="shared" ca="1" si="1"/>
        <v/>
      </c>
      <c r="I71" s="36" t="str">
        <f t="shared" ca="1" si="2"/>
        <v/>
      </c>
      <c r="J71" s="38" t="str">
        <f ca="1">IF(B71="","",'Hidden-Forecast Calculations'!L64)</f>
        <v/>
      </c>
      <c r="K71" s="54"/>
      <c r="L71" s="40"/>
      <c r="M71" s="40"/>
      <c r="N71" s="58" t="str">
        <f t="shared" ca="1" si="3"/>
        <v/>
      </c>
      <c r="O71" s="36" t="str">
        <f t="shared" ca="1" si="4"/>
        <v/>
      </c>
      <c r="P71" s="36" t="str">
        <f t="shared" ca="1" si="5"/>
        <v/>
      </c>
      <c r="Q71" s="54"/>
      <c r="R71" s="40"/>
      <c r="S71" s="97"/>
      <c r="T71" s="35" t="str">
        <f ca="1">'Hidden-Forecast Calculations'!R64</f>
        <v/>
      </c>
      <c r="U71" s="35" t="str">
        <f ca="1">'Hidden-Forecast Calculations'!S64</f>
        <v/>
      </c>
      <c r="V71" s="200" t="str">
        <f ca="1">'Hidden-Forecast Calculations'!T64</f>
        <v/>
      </c>
    </row>
    <row r="72" spans="2:22" ht="20.100000000000001" customHeight="1" x14ac:dyDescent="0.2">
      <c r="B72" s="42" t="str">
        <f ca="1">'Hidden-Forecast Calculations'!E65</f>
        <v/>
      </c>
      <c r="C72" s="36" t="str">
        <f ca="1">IF(B72="","",COUNTIF(EmployeeTable[Role],B72))</f>
        <v/>
      </c>
      <c r="D72" s="70" t="str">
        <f ca="1">IF(COUNTIF(EmployeeTable[Role],B72)=0,"",COUNTIFS(EmployeeTable[Role],B72,EmployeeTable[Over 55],1)/COUNTIF(EmployeeTable[Role],B72))</f>
        <v/>
      </c>
      <c r="E72" s="36" t="str">
        <f ca="1">IF(B72="","",'Hidden-Forecast Calculations'!G65)</f>
        <v/>
      </c>
      <c r="F72" s="37"/>
      <c r="G72" s="58" t="str">
        <f t="shared" ca="1" si="0"/>
        <v/>
      </c>
      <c r="H72" s="36" t="str">
        <f t="shared" ca="1" si="1"/>
        <v/>
      </c>
      <c r="I72" s="36" t="str">
        <f t="shared" ca="1" si="2"/>
        <v/>
      </c>
      <c r="J72" s="38" t="str">
        <f ca="1">IF(B72="","",'Hidden-Forecast Calculations'!L65)</f>
        <v/>
      </c>
      <c r="K72" s="54"/>
      <c r="L72" s="40"/>
      <c r="M72" s="40"/>
      <c r="N72" s="58" t="str">
        <f t="shared" ca="1" si="3"/>
        <v/>
      </c>
      <c r="O72" s="36" t="str">
        <f t="shared" ca="1" si="4"/>
        <v/>
      </c>
      <c r="P72" s="36" t="str">
        <f t="shared" ca="1" si="5"/>
        <v/>
      </c>
      <c r="Q72" s="54"/>
      <c r="R72" s="40"/>
      <c r="S72" s="97"/>
      <c r="T72" s="35" t="str">
        <f ca="1">'Hidden-Forecast Calculations'!R65</f>
        <v/>
      </c>
      <c r="U72" s="35" t="str">
        <f ca="1">'Hidden-Forecast Calculations'!S65</f>
        <v/>
      </c>
      <c r="V72" s="200" t="str">
        <f ca="1">'Hidden-Forecast Calculations'!T65</f>
        <v/>
      </c>
    </row>
    <row r="73" spans="2:22" ht="20.100000000000001" customHeight="1" x14ac:dyDescent="0.2">
      <c r="B73" s="42" t="str">
        <f ca="1">'Hidden-Forecast Calculations'!E66</f>
        <v/>
      </c>
      <c r="C73" s="36" t="str">
        <f ca="1">IF(B73="","",COUNTIF(EmployeeTable[Role],B73))</f>
        <v/>
      </c>
      <c r="D73" s="70" t="str">
        <f ca="1">IF(COUNTIF(EmployeeTable[Role],B73)=0,"",COUNTIFS(EmployeeTable[Role],B73,EmployeeTable[Over 55],1)/COUNTIF(EmployeeTable[Role],B73))</f>
        <v/>
      </c>
      <c r="E73" s="36" t="str">
        <f ca="1">IF(B73="","",'Hidden-Forecast Calculations'!G66)</f>
        <v/>
      </c>
      <c r="F73" s="37"/>
      <c r="G73" s="58" t="str">
        <f t="shared" ca="1" si="0"/>
        <v/>
      </c>
      <c r="H73" s="36" t="str">
        <f t="shared" ca="1" si="1"/>
        <v/>
      </c>
      <c r="I73" s="36" t="str">
        <f t="shared" ca="1" si="2"/>
        <v/>
      </c>
      <c r="J73" s="38" t="str">
        <f ca="1">IF(B73="","",'Hidden-Forecast Calculations'!L66)</f>
        <v/>
      </c>
      <c r="K73" s="54"/>
      <c r="L73" s="40"/>
      <c r="M73" s="40"/>
      <c r="N73" s="58" t="str">
        <f t="shared" ca="1" si="3"/>
        <v/>
      </c>
      <c r="O73" s="36" t="str">
        <f t="shared" ca="1" si="4"/>
        <v/>
      </c>
      <c r="P73" s="36" t="str">
        <f t="shared" ca="1" si="5"/>
        <v/>
      </c>
      <c r="Q73" s="54"/>
      <c r="R73" s="40"/>
      <c r="S73" s="97"/>
      <c r="T73" s="35" t="str">
        <f ca="1">'Hidden-Forecast Calculations'!R66</f>
        <v/>
      </c>
      <c r="U73" s="35" t="str">
        <f ca="1">'Hidden-Forecast Calculations'!S66</f>
        <v/>
      </c>
      <c r="V73" s="200" t="str">
        <f ca="1">'Hidden-Forecast Calculations'!T66</f>
        <v/>
      </c>
    </row>
    <row r="74" spans="2:22" ht="20.100000000000001" customHeight="1" x14ac:dyDescent="0.2">
      <c r="B74" s="42" t="str">
        <f ca="1">'Hidden-Forecast Calculations'!E67</f>
        <v/>
      </c>
      <c r="C74" s="36" t="str">
        <f ca="1">IF(B74="","",COUNTIF(EmployeeTable[Role],B74))</f>
        <v/>
      </c>
      <c r="D74" s="70" t="str">
        <f ca="1">IF(COUNTIF(EmployeeTable[Role],B74)=0,"",COUNTIFS(EmployeeTable[Role],B74,EmployeeTable[Over 55],1)/COUNTIF(EmployeeTable[Role],B74))</f>
        <v/>
      </c>
      <c r="E74" s="36" t="str">
        <f ca="1">IF(B74="","",'Hidden-Forecast Calculations'!G67)</f>
        <v/>
      </c>
      <c r="F74" s="37"/>
      <c r="G74" s="58" t="str">
        <f t="shared" ca="1" si="0"/>
        <v/>
      </c>
      <c r="H74" s="36" t="str">
        <f t="shared" ca="1" si="1"/>
        <v/>
      </c>
      <c r="I74" s="36" t="str">
        <f t="shared" ca="1" si="2"/>
        <v/>
      </c>
      <c r="J74" s="38" t="str">
        <f ca="1">IF(B74="","",'Hidden-Forecast Calculations'!L67)</f>
        <v/>
      </c>
      <c r="K74" s="54"/>
      <c r="L74" s="40"/>
      <c r="M74" s="40"/>
      <c r="N74" s="58" t="str">
        <f t="shared" ca="1" si="3"/>
        <v/>
      </c>
      <c r="O74" s="36" t="str">
        <f t="shared" ca="1" si="4"/>
        <v/>
      </c>
      <c r="P74" s="36" t="str">
        <f t="shared" ca="1" si="5"/>
        <v/>
      </c>
      <c r="Q74" s="54"/>
      <c r="R74" s="40"/>
      <c r="S74" s="97"/>
      <c r="T74" s="35" t="str">
        <f ca="1">'Hidden-Forecast Calculations'!R67</f>
        <v/>
      </c>
      <c r="U74" s="35" t="str">
        <f ca="1">'Hidden-Forecast Calculations'!S67</f>
        <v/>
      </c>
      <c r="V74" s="200" t="str">
        <f ca="1">'Hidden-Forecast Calculations'!T67</f>
        <v/>
      </c>
    </row>
    <row r="75" spans="2:22" ht="20.100000000000001" customHeight="1" x14ac:dyDescent="0.2">
      <c r="B75" s="42" t="str">
        <f ca="1">'Hidden-Forecast Calculations'!E68</f>
        <v/>
      </c>
      <c r="C75" s="36" t="str">
        <f ca="1">IF(B75="","",COUNTIF(EmployeeTable[Role],B75))</f>
        <v/>
      </c>
      <c r="D75" s="70" t="str">
        <f ca="1">IF(COUNTIF(EmployeeTable[Role],B75)=0,"",COUNTIFS(EmployeeTable[Role],B75,EmployeeTable[Over 55],1)/COUNTIF(EmployeeTable[Role],B75))</f>
        <v/>
      </c>
      <c r="E75" s="36" t="str">
        <f ca="1">IF(B75="","",'Hidden-Forecast Calculations'!G68)</f>
        <v/>
      </c>
      <c r="F75" s="37"/>
      <c r="G75" s="58" t="str">
        <f t="shared" ref="G75:G110" ca="1" si="6">IF(B75="","",MROUND(C75*(1+$C$6),0.5))</f>
        <v/>
      </c>
      <c r="H75" s="36" t="str">
        <f t="shared" ref="H75:H110" ca="1" si="7">IF(B75="","",MROUND(G75*(1+$C$6),0.5))</f>
        <v/>
      </c>
      <c r="I75" s="36" t="str">
        <f t="shared" ref="I75:I110" ca="1" si="8">IF(B75="","",MROUND(H75*(1+$C$6),0.5))</f>
        <v/>
      </c>
      <c r="J75" s="38" t="str">
        <f ca="1">IF(B75="","",'Hidden-Forecast Calculations'!L68)</f>
        <v/>
      </c>
      <c r="K75" s="54"/>
      <c r="L75" s="40"/>
      <c r="M75" s="40"/>
      <c r="N75" s="58" t="str">
        <f t="shared" ref="N75:N110" ca="1" si="9">IF(B75="","",MROUND(C75-(C75*$E75),0.5))</f>
        <v/>
      </c>
      <c r="O75" s="36" t="str">
        <f t="shared" ref="O75:O110" ca="1" si="10">IF(B75="","",MROUND(N75-(N75*$E75),0.5))</f>
        <v/>
      </c>
      <c r="P75" s="36" t="str">
        <f t="shared" ref="P75:P110" ca="1" si="11">IF(B75="","",MROUND(O75-(O75*$E75),0.5))</f>
        <v/>
      </c>
      <c r="Q75" s="54"/>
      <c r="R75" s="40"/>
      <c r="S75" s="97"/>
      <c r="T75" s="35" t="str">
        <f ca="1">'Hidden-Forecast Calculations'!R68</f>
        <v/>
      </c>
      <c r="U75" s="35" t="str">
        <f ca="1">'Hidden-Forecast Calculations'!S68</f>
        <v/>
      </c>
      <c r="V75" s="200" t="str">
        <f ca="1">'Hidden-Forecast Calculations'!T68</f>
        <v/>
      </c>
    </row>
    <row r="76" spans="2:22" ht="20.100000000000001" customHeight="1" x14ac:dyDescent="0.2">
      <c r="B76" s="42" t="str">
        <f ca="1">'Hidden-Forecast Calculations'!E69</f>
        <v/>
      </c>
      <c r="C76" s="36" t="str">
        <f ca="1">IF(B76="","",COUNTIF(EmployeeTable[Role],B76))</f>
        <v/>
      </c>
      <c r="D76" s="70" t="str">
        <f ca="1">IF(COUNTIF(EmployeeTable[Role],B76)=0,"",COUNTIFS(EmployeeTable[Role],B76,EmployeeTable[Over 55],1)/COUNTIF(EmployeeTable[Role],B76))</f>
        <v/>
      </c>
      <c r="E76" s="36" t="str">
        <f ca="1">IF(B76="","",'Hidden-Forecast Calculations'!G69)</f>
        <v/>
      </c>
      <c r="F76" s="37"/>
      <c r="G76" s="58" t="str">
        <f t="shared" ca="1" si="6"/>
        <v/>
      </c>
      <c r="H76" s="36" t="str">
        <f t="shared" ca="1" si="7"/>
        <v/>
      </c>
      <c r="I76" s="36" t="str">
        <f t="shared" ca="1" si="8"/>
        <v/>
      </c>
      <c r="J76" s="38" t="str">
        <f ca="1">IF(B76="","",'Hidden-Forecast Calculations'!L69)</f>
        <v/>
      </c>
      <c r="K76" s="54"/>
      <c r="L76" s="40"/>
      <c r="M76" s="40"/>
      <c r="N76" s="58" t="str">
        <f t="shared" ca="1" si="9"/>
        <v/>
      </c>
      <c r="O76" s="36" t="str">
        <f t="shared" ca="1" si="10"/>
        <v/>
      </c>
      <c r="P76" s="36" t="str">
        <f t="shared" ca="1" si="11"/>
        <v/>
      </c>
      <c r="Q76" s="54"/>
      <c r="R76" s="40"/>
      <c r="S76" s="97"/>
      <c r="T76" s="35" t="str">
        <f ca="1">'Hidden-Forecast Calculations'!R69</f>
        <v/>
      </c>
      <c r="U76" s="35" t="str">
        <f ca="1">'Hidden-Forecast Calculations'!S69</f>
        <v/>
      </c>
      <c r="V76" s="200" t="str">
        <f ca="1">'Hidden-Forecast Calculations'!T69</f>
        <v/>
      </c>
    </row>
    <row r="77" spans="2:22" ht="20.100000000000001" customHeight="1" x14ac:dyDescent="0.2">
      <c r="B77" s="42" t="str">
        <f ca="1">'Hidden-Forecast Calculations'!E70</f>
        <v/>
      </c>
      <c r="C77" s="36" t="str">
        <f ca="1">IF(B77="","",COUNTIF(EmployeeTable[Role],B77))</f>
        <v/>
      </c>
      <c r="D77" s="70" t="str">
        <f ca="1">IF(COUNTIF(EmployeeTable[Role],B77)=0,"",COUNTIFS(EmployeeTable[Role],B77,EmployeeTable[Over 55],1)/COUNTIF(EmployeeTable[Role],B77))</f>
        <v/>
      </c>
      <c r="E77" s="36" t="str">
        <f ca="1">IF(B77="","",'Hidden-Forecast Calculations'!G70)</f>
        <v/>
      </c>
      <c r="F77" s="37"/>
      <c r="G77" s="58" t="str">
        <f t="shared" ca="1" si="6"/>
        <v/>
      </c>
      <c r="H77" s="36" t="str">
        <f t="shared" ca="1" si="7"/>
        <v/>
      </c>
      <c r="I77" s="36" t="str">
        <f t="shared" ca="1" si="8"/>
        <v/>
      </c>
      <c r="J77" s="38" t="str">
        <f ca="1">IF(B77="","",'Hidden-Forecast Calculations'!L70)</f>
        <v/>
      </c>
      <c r="K77" s="54"/>
      <c r="L77" s="40"/>
      <c r="M77" s="40"/>
      <c r="N77" s="58" t="str">
        <f t="shared" ca="1" si="9"/>
        <v/>
      </c>
      <c r="O77" s="36" t="str">
        <f t="shared" ca="1" si="10"/>
        <v/>
      </c>
      <c r="P77" s="36" t="str">
        <f t="shared" ca="1" si="11"/>
        <v/>
      </c>
      <c r="Q77" s="54"/>
      <c r="R77" s="40"/>
      <c r="S77" s="97"/>
      <c r="T77" s="35" t="str">
        <f ca="1">'Hidden-Forecast Calculations'!R70</f>
        <v/>
      </c>
      <c r="U77" s="35" t="str">
        <f ca="1">'Hidden-Forecast Calculations'!S70</f>
        <v/>
      </c>
      <c r="V77" s="200" t="str">
        <f ca="1">'Hidden-Forecast Calculations'!T70</f>
        <v/>
      </c>
    </row>
    <row r="78" spans="2:22" ht="20.100000000000001" customHeight="1" x14ac:dyDescent="0.2">
      <c r="B78" s="42" t="str">
        <f ca="1">'Hidden-Forecast Calculations'!E71</f>
        <v/>
      </c>
      <c r="C78" s="36" t="str">
        <f ca="1">IF(B78="","",COUNTIF(EmployeeTable[Role],B78))</f>
        <v/>
      </c>
      <c r="D78" s="70" t="str">
        <f ca="1">IF(COUNTIF(EmployeeTable[Role],B78)=0,"",COUNTIFS(EmployeeTable[Role],B78,EmployeeTable[Over 55],1)/COUNTIF(EmployeeTable[Role],B78))</f>
        <v/>
      </c>
      <c r="E78" s="36" t="str">
        <f ca="1">IF(B78="","",'Hidden-Forecast Calculations'!G71)</f>
        <v/>
      </c>
      <c r="F78" s="37"/>
      <c r="G78" s="58" t="str">
        <f t="shared" ca="1" si="6"/>
        <v/>
      </c>
      <c r="H78" s="36" t="str">
        <f t="shared" ca="1" si="7"/>
        <v/>
      </c>
      <c r="I78" s="36" t="str">
        <f t="shared" ca="1" si="8"/>
        <v/>
      </c>
      <c r="J78" s="38" t="str">
        <f ca="1">IF(B78="","",'Hidden-Forecast Calculations'!L71)</f>
        <v/>
      </c>
      <c r="K78" s="54"/>
      <c r="L78" s="40"/>
      <c r="M78" s="40"/>
      <c r="N78" s="58" t="str">
        <f t="shared" ca="1" si="9"/>
        <v/>
      </c>
      <c r="O78" s="36" t="str">
        <f t="shared" ca="1" si="10"/>
        <v/>
      </c>
      <c r="P78" s="36" t="str">
        <f t="shared" ca="1" si="11"/>
        <v/>
      </c>
      <c r="Q78" s="54"/>
      <c r="R78" s="40"/>
      <c r="S78" s="97"/>
      <c r="T78" s="35" t="str">
        <f ca="1">'Hidden-Forecast Calculations'!R71</f>
        <v/>
      </c>
      <c r="U78" s="35" t="str">
        <f ca="1">'Hidden-Forecast Calculations'!S71</f>
        <v/>
      </c>
      <c r="V78" s="200" t="str">
        <f ca="1">'Hidden-Forecast Calculations'!T71</f>
        <v/>
      </c>
    </row>
    <row r="79" spans="2:22" ht="20.100000000000001" customHeight="1" x14ac:dyDescent="0.2">
      <c r="B79" s="42" t="str">
        <f ca="1">'Hidden-Forecast Calculations'!E72</f>
        <v/>
      </c>
      <c r="C79" s="36" t="str">
        <f ca="1">IF(B79="","",COUNTIF(EmployeeTable[Role],B79))</f>
        <v/>
      </c>
      <c r="D79" s="70" t="str">
        <f ca="1">IF(COUNTIF(EmployeeTable[Role],B79)=0,"",COUNTIFS(EmployeeTable[Role],B79,EmployeeTable[Over 55],1)/COUNTIF(EmployeeTable[Role],B79))</f>
        <v/>
      </c>
      <c r="E79" s="36" t="str">
        <f ca="1">IF(B79="","",'Hidden-Forecast Calculations'!G72)</f>
        <v/>
      </c>
      <c r="F79" s="37"/>
      <c r="G79" s="58" t="str">
        <f t="shared" ca="1" si="6"/>
        <v/>
      </c>
      <c r="H79" s="36" t="str">
        <f t="shared" ca="1" si="7"/>
        <v/>
      </c>
      <c r="I79" s="36" t="str">
        <f t="shared" ca="1" si="8"/>
        <v/>
      </c>
      <c r="J79" s="38" t="str">
        <f ca="1">IF(B79="","",'Hidden-Forecast Calculations'!L72)</f>
        <v/>
      </c>
      <c r="K79" s="54"/>
      <c r="L79" s="40"/>
      <c r="M79" s="40"/>
      <c r="N79" s="58" t="str">
        <f t="shared" ca="1" si="9"/>
        <v/>
      </c>
      <c r="O79" s="36" t="str">
        <f t="shared" ca="1" si="10"/>
        <v/>
      </c>
      <c r="P79" s="36" t="str">
        <f t="shared" ca="1" si="11"/>
        <v/>
      </c>
      <c r="Q79" s="54"/>
      <c r="R79" s="40"/>
      <c r="S79" s="97"/>
      <c r="T79" s="35" t="str">
        <f ca="1">'Hidden-Forecast Calculations'!R72</f>
        <v/>
      </c>
      <c r="U79" s="35" t="str">
        <f ca="1">'Hidden-Forecast Calculations'!S72</f>
        <v/>
      </c>
      <c r="V79" s="200" t="str">
        <f ca="1">'Hidden-Forecast Calculations'!T72</f>
        <v/>
      </c>
    </row>
    <row r="80" spans="2:22" ht="20.100000000000001" customHeight="1" x14ac:dyDescent="0.2">
      <c r="B80" s="42" t="str">
        <f ca="1">'Hidden-Forecast Calculations'!E73</f>
        <v/>
      </c>
      <c r="C80" s="36" t="str">
        <f ca="1">IF(B80="","",COUNTIF(EmployeeTable[Role],B80))</f>
        <v/>
      </c>
      <c r="D80" s="70" t="str">
        <f ca="1">IF(COUNTIF(EmployeeTable[Role],B80)=0,"",COUNTIFS(EmployeeTable[Role],B80,EmployeeTable[Over 55],1)/COUNTIF(EmployeeTable[Role],B80))</f>
        <v/>
      </c>
      <c r="E80" s="36" t="str">
        <f ca="1">IF(B80="","",'Hidden-Forecast Calculations'!G73)</f>
        <v/>
      </c>
      <c r="F80" s="37"/>
      <c r="G80" s="58" t="str">
        <f t="shared" ca="1" si="6"/>
        <v/>
      </c>
      <c r="H80" s="36" t="str">
        <f t="shared" ca="1" si="7"/>
        <v/>
      </c>
      <c r="I80" s="36" t="str">
        <f t="shared" ca="1" si="8"/>
        <v/>
      </c>
      <c r="J80" s="38" t="str">
        <f ca="1">IF(B80="","",'Hidden-Forecast Calculations'!L73)</f>
        <v/>
      </c>
      <c r="K80" s="54"/>
      <c r="L80" s="40"/>
      <c r="M80" s="40"/>
      <c r="N80" s="58" t="str">
        <f t="shared" ca="1" si="9"/>
        <v/>
      </c>
      <c r="O80" s="36" t="str">
        <f t="shared" ca="1" si="10"/>
        <v/>
      </c>
      <c r="P80" s="36" t="str">
        <f t="shared" ca="1" si="11"/>
        <v/>
      </c>
      <c r="Q80" s="54"/>
      <c r="R80" s="40"/>
      <c r="S80" s="97"/>
      <c r="T80" s="35" t="str">
        <f ca="1">'Hidden-Forecast Calculations'!R73</f>
        <v/>
      </c>
      <c r="U80" s="35" t="str">
        <f ca="1">'Hidden-Forecast Calculations'!S73</f>
        <v/>
      </c>
      <c r="V80" s="200" t="str">
        <f ca="1">'Hidden-Forecast Calculations'!T73</f>
        <v/>
      </c>
    </row>
    <row r="81" spans="2:22" ht="20.100000000000001" customHeight="1" x14ac:dyDescent="0.2">
      <c r="B81" s="42" t="str">
        <f ca="1">'Hidden-Forecast Calculations'!E74</f>
        <v/>
      </c>
      <c r="C81" s="36" t="str">
        <f ca="1">IF(B81="","",COUNTIF(EmployeeTable[Role],B81))</f>
        <v/>
      </c>
      <c r="D81" s="70" t="str">
        <f ca="1">IF(COUNTIF(EmployeeTable[Role],B81)=0,"",COUNTIFS(EmployeeTable[Role],B81,EmployeeTable[Over 55],1)/COUNTIF(EmployeeTable[Role],B81))</f>
        <v/>
      </c>
      <c r="E81" s="36" t="str">
        <f ca="1">IF(B81="","",'Hidden-Forecast Calculations'!G74)</f>
        <v/>
      </c>
      <c r="F81" s="37"/>
      <c r="G81" s="58" t="str">
        <f t="shared" ca="1" si="6"/>
        <v/>
      </c>
      <c r="H81" s="36" t="str">
        <f t="shared" ca="1" si="7"/>
        <v/>
      </c>
      <c r="I81" s="36" t="str">
        <f t="shared" ca="1" si="8"/>
        <v/>
      </c>
      <c r="J81" s="38" t="str">
        <f ca="1">IF(B81="","",'Hidden-Forecast Calculations'!L74)</f>
        <v/>
      </c>
      <c r="K81" s="54"/>
      <c r="L81" s="40"/>
      <c r="M81" s="40"/>
      <c r="N81" s="58" t="str">
        <f t="shared" ca="1" si="9"/>
        <v/>
      </c>
      <c r="O81" s="36" t="str">
        <f t="shared" ca="1" si="10"/>
        <v/>
      </c>
      <c r="P81" s="36" t="str">
        <f t="shared" ca="1" si="11"/>
        <v/>
      </c>
      <c r="Q81" s="54"/>
      <c r="R81" s="40"/>
      <c r="S81" s="97"/>
      <c r="T81" s="35" t="str">
        <f ca="1">'Hidden-Forecast Calculations'!R74</f>
        <v/>
      </c>
      <c r="U81" s="35" t="str">
        <f ca="1">'Hidden-Forecast Calculations'!S74</f>
        <v/>
      </c>
      <c r="V81" s="200" t="str">
        <f ca="1">'Hidden-Forecast Calculations'!T74</f>
        <v/>
      </c>
    </row>
    <row r="82" spans="2:22" ht="20.100000000000001" customHeight="1" x14ac:dyDescent="0.2">
      <c r="B82" s="42" t="str">
        <f ca="1">'Hidden-Forecast Calculations'!E75</f>
        <v/>
      </c>
      <c r="C82" s="36" t="str">
        <f ca="1">IF(B82="","",COUNTIF(EmployeeTable[Role],B82))</f>
        <v/>
      </c>
      <c r="D82" s="70" t="str">
        <f ca="1">IF(COUNTIF(EmployeeTable[Role],B82)=0,"",COUNTIFS(EmployeeTable[Role],B82,EmployeeTable[Over 55],1)/COUNTIF(EmployeeTable[Role],B82))</f>
        <v/>
      </c>
      <c r="E82" s="36" t="str">
        <f ca="1">IF(B82="","",'Hidden-Forecast Calculations'!G75)</f>
        <v/>
      </c>
      <c r="F82" s="37"/>
      <c r="G82" s="58" t="str">
        <f t="shared" ca="1" si="6"/>
        <v/>
      </c>
      <c r="H82" s="36" t="str">
        <f t="shared" ca="1" si="7"/>
        <v/>
      </c>
      <c r="I82" s="36" t="str">
        <f t="shared" ca="1" si="8"/>
        <v/>
      </c>
      <c r="J82" s="38" t="str">
        <f ca="1">IF(B82="","",'Hidden-Forecast Calculations'!L75)</f>
        <v/>
      </c>
      <c r="K82" s="54"/>
      <c r="L82" s="40"/>
      <c r="M82" s="40"/>
      <c r="N82" s="58" t="str">
        <f t="shared" ca="1" si="9"/>
        <v/>
      </c>
      <c r="O82" s="36" t="str">
        <f t="shared" ca="1" si="10"/>
        <v/>
      </c>
      <c r="P82" s="36" t="str">
        <f t="shared" ca="1" si="11"/>
        <v/>
      </c>
      <c r="Q82" s="54"/>
      <c r="R82" s="40"/>
      <c r="S82" s="97"/>
      <c r="T82" s="35" t="str">
        <f ca="1">'Hidden-Forecast Calculations'!R75</f>
        <v/>
      </c>
      <c r="U82" s="35" t="str">
        <f ca="1">'Hidden-Forecast Calculations'!S75</f>
        <v/>
      </c>
      <c r="V82" s="200" t="str">
        <f ca="1">'Hidden-Forecast Calculations'!T75</f>
        <v/>
      </c>
    </row>
    <row r="83" spans="2:22" ht="20.100000000000001" customHeight="1" x14ac:dyDescent="0.2">
      <c r="B83" s="42" t="str">
        <f ca="1">'Hidden-Forecast Calculations'!E76</f>
        <v/>
      </c>
      <c r="C83" s="36" t="str">
        <f ca="1">IF(B83="","",COUNTIF(EmployeeTable[Role],B83))</f>
        <v/>
      </c>
      <c r="D83" s="70" t="str">
        <f ca="1">IF(COUNTIF(EmployeeTable[Role],B83)=0,"",COUNTIFS(EmployeeTable[Role],B83,EmployeeTable[Over 55],1)/COUNTIF(EmployeeTable[Role],B83))</f>
        <v/>
      </c>
      <c r="E83" s="36" t="str">
        <f ca="1">IF(B83="","",'Hidden-Forecast Calculations'!G76)</f>
        <v/>
      </c>
      <c r="F83" s="37"/>
      <c r="G83" s="58" t="str">
        <f t="shared" ca="1" si="6"/>
        <v/>
      </c>
      <c r="H83" s="36" t="str">
        <f t="shared" ca="1" si="7"/>
        <v/>
      </c>
      <c r="I83" s="36" t="str">
        <f t="shared" ca="1" si="8"/>
        <v/>
      </c>
      <c r="J83" s="38" t="str">
        <f ca="1">IF(B83="","",'Hidden-Forecast Calculations'!L76)</f>
        <v/>
      </c>
      <c r="K83" s="54"/>
      <c r="L83" s="40"/>
      <c r="M83" s="40"/>
      <c r="N83" s="58" t="str">
        <f t="shared" ca="1" si="9"/>
        <v/>
      </c>
      <c r="O83" s="36" t="str">
        <f t="shared" ca="1" si="10"/>
        <v/>
      </c>
      <c r="P83" s="36" t="str">
        <f t="shared" ca="1" si="11"/>
        <v/>
      </c>
      <c r="Q83" s="54"/>
      <c r="R83" s="40"/>
      <c r="S83" s="97"/>
      <c r="T83" s="35" t="str">
        <f ca="1">'Hidden-Forecast Calculations'!R76</f>
        <v/>
      </c>
      <c r="U83" s="35" t="str">
        <f ca="1">'Hidden-Forecast Calculations'!S76</f>
        <v/>
      </c>
      <c r="V83" s="200" t="str">
        <f ca="1">'Hidden-Forecast Calculations'!T76</f>
        <v/>
      </c>
    </row>
    <row r="84" spans="2:22" ht="20.100000000000001" customHeight="1" x14ac:dyDescent="0.2">
      <c r="B84" s="42" t="str">
        <f ca="1">'Hidden-Forecast Calculations'!E77</f>
        <v/>
      </c>
      <c r="C84" s="36" t="str">
        <f ca="1">IF(B84="","",COUNTIF(EmployeeTable[Role],B84))</f>
        <v/>
      </c>
      <c r="D84" s="70" t="str">
        <f ca="1">IF(COUNTIF(EmployeeTable[Role],B84)=0,"",COUNTIFS(EmployeeTable[Role],B84,EmployeeTable[Over 55],1)/COUNTIF(EmployeeTable[Role],B84))</f>
        <v/>
      </c>
      <c r="E84" s="36" t="str">
        <f ca="1">IF(B84="","",'Hidden-Forecast Calculations'!G77)</f>
        <v/>
      </c>
      <c r="F84" s="37"/>
      <c r="G84" s="58" t="str">
        <f t="shared" ca="1" si="6"/>
        <v/>
      </c>
      <c r="H84" s="36" t="str">
        <f t="shared" ca="1" si="7"/>
        <v/>
      </c>
      <c r="I84" s="36" t="str">
        <f t="shared" ca="1" si="8"/>
        <v/>
      </c>
      <c r="J84" s="38" t="str">
        <f ca="1">IF(B84="","",'Hidden-Forecast Calculations'!L77)</f>
        <v/>
      </c>
      <c r="K84" s="54"/>
      <c r="L84" s="40"/>
      <c r="M84" s="40"/>
      <c r="N84" s="58" t="str">
        <f t="shared" ca="1" si="9"/>
        <v/>
      </c>
      <c r="O84" s="36" t="str">
        <f t="shared" ca="1" si="10"/>
        <v/>
      </c>
      <c r="P84" s="36" t="str">
        <f t="shared" ca="1" si="11"/>
        <v/>
      </c>
      <c r="Q84" s="54"/>
      <c r="R84" s="40"/>
      <c r="S84" s="97"/>
      <c r="T84" s="35" t="str">
        <f ca="1">'Hidden-Forecast Calculations'!R77</f>
        <v/>
      </c>
      <c r="U84" s="35" t="str">
        <f ca="1">'Hidden-Forecast Calculations'!S77</f>
        <v/>
      </c>
      <c r="V84" s="200" t="str">
        <f ca="1">'Hidden-Forecast Calculations'!T77</f>
        <v/>
      </c>
    </row>
    <row r="85" spans="2:22" ht="20.100000000000001" customHeight="1" x14ac:dyDescent="0.2">
      <c r="B85" s="42" t="str">
        <f ca="1">'Hidden-Forecast Calculations'!E78</f>
        <v/>
      </c>
      <c r="C85" s="36" t="str">
        <f ca="1">IF(B85="","",COUNTIF(EmployeeTable[Role],B85))</f>
        <v/>
      </c>
      <c r="D85" s="70" t="str">
        <f ca="1">IF(COUNTIF(EmployeeTable[Role],B85)=0,"",COUNTIFS(EmployeeTable[Role],B85,EmployeeTable[Over 55],1)/COUNTIF(EmployeeTable[Role],B85))</f>
        <v/>
      </c>
      <c r="E85" s="36" t="str">
        <f ca="1">IF(B85="","",'Hidden-Forecast Calculations'!G78)</f>
        <v/>
      </c>
      <c r="F85" s="37"/>
      <c r="G85" s="58" t="str">
        <f t="shared" ca="1" si="6"/>
        <v/>
      </c>
      <c r="H85" s="36" t="str">
        <f t="shared" ca="1" si="7"/>
        <v/>
      </c>
      <c r="I85" s="36" t="str">
        <f t="shared" ca="1" si="8"/>
        <v/>
      </c>
      <c r="J85" s="38" t="str">
        <f ca="1">IF(B85="","",'Hidden-Forecast Calculations'!L78)</f>
        <v/>
      </c>
      <c r="K85" s="54"/>
      <c r="L85" s="40"/>
      <c r="M85" s="40"/>
      <c r="N85" s="58" t="str">
        <f t="shared" ca="1" si="9"/>
        <v/>
      </c>
      <c r="O85" s="36" t="str">
        <f t="shared" ca="1" si="10"/>
        <v/>
      </c>
      <c r="P85" s="36" t="str">
        <f t="shared" ca="1" si="11"/>
        <v/>
      </c>
      <c r="Q85" s="54"/>
      <c r="R85" s="40"/>
      <c r="S85" s="97"/>
      <c r="T85" s="35" t="str">
        <f ca="1">'Hidden-Forecast Calculations'!R78</f>
        <v/>
      </c>
      <c r="U85" s="35" t="str">
        <f ca="1">'Hidden-Forecast Calculations'!S78</f>
        <v/>
      </c>
      <c r="V85" s="200" t="str">
        <f ca="1">'Hidden-Forecast Calculations'!T78</f>
        <v/>
      </c>
    </row>
    <row r="86" spans="2:22" ht="20.100000000000001" customHeight="1" x14ac:dyDescent="0.2">
      <c r="B86" s="42" t="str">
        <f ca="1">'Hidden-Forecast Calculations'!E79</f>
        <v/>
      </c>
      <c r="C86" s="36" t="str">
        <f ca="1">IF(B86="","",COUNTIF(EmployeeTable[Role],B86))</f>
        <v/>
      </c>
      <c r="D86" s="70" t="str">
        <f ca="1">IF(COUNTIF(EmployeeTable[Role],B86)=0,"",COUNTIFS(EmployeeTable[Role],B86,EmployeeTable[Over 55],1)/COUNTIF(EmployeeTable[Role],B86))</f>
        <v/>
      </c>
      <c r="E86" s="36" t="str">
        <f ca="1">IF(B86="","",'Hidden-Forecast Calculations'!G79)</f>
        <v/>
      </c>
      <c r="F86" s="37"/>
      <c r="G86" s="58" t="str">
        <f t="shared" ca="1" si="6"/>
        <v/>
      </c>
      <c r="H86" s="36" t="str">
        <f t="shared" ca="1" si="7"/>
        <v/>
      </c>
      <c r="I86" s="36" t="str">
        <f t="shared" ca="1" si="8"/>
        <v/>
      </c>
      <c r="J86" s="38" t="str">
        <f ca="1">IF(B86="","",'Hidden-Forecast Calculations'!L79)</f>
        <v/>
      </c>
      <c r="K86" s="54"/>
      <c r="L86" s="40"/>
      <c r="M86" s="40"/>
      <c r="N86" s="58" t="str">
        <f t="shared" ca="1" si="9"/>
        <v/>
      </c>
      <c r="O86" s="36" t="str">
        <f t="shared" ca="1" si="10"/>
        <v/>
      </c>
      <c r="P86" s="36" t="str">
        <f t="shared" ca="1" si="11"/>
        <v/>
      </c>
      <c r="Q86" s="54"/>
      <c r="R86" s="40"/>
      <c r="S86" s="97"/>
      <c r="T86" s="35" t="str">
        <f ca="1">'Hidden-Forecast Calculations'!R79</f>
        <v/>
      </c>
      <c r="U86" s="35" t="str">
        <f ca="1">'Hidden-Forecast Calculations'!S79</f>
        <v/>
      </c>
      <c r="V86" s="200" t="str">
        <f ca="1">'Hidden-Forecast Calculations'!T79</f>
        <v/>
      </c>
    </row>
    <row r="87" spans="2:22" ht="20.100000000000001" customHeight="1" x14ac:dyDescent="0.2">
      <c r="B87" s="42" t="str">
        <f ca="1">'Hidden-Forecast Calculations'!E80</f>
        <v/>
      </c>
      <c r="C87" s="36" t="str">
        <f ca="1">IF(B87="","",COUNTIF(EmployeeTable[Role],B87))</f>
        <v/>
      </c>
      <c r="D87" s="70" t="str">
        <f ca="1">IF(COUNTIF(EmployeeTable[Role],B87)=0,"",COUNTIFS(EmployeeTable[Role],B87,EmployeeTable[Over 55],1)/COUNTIF(EmployeeTable[Role],B87))</f>
        <v/>
      </c>
      <c r="E87" s="36" t="str">
        <f ca="1">IF(B87="","",'Hidden-Forecast Calculations'!G80)</f>
        <v/>
      </c>
      <c r="F87" s="37"/>
      <c r="G87" s="58" t="str">
        <f t="shared" ca="1" si="6"/>
        <v/>
      </c>
      <c r="H87" s="36" t="str">
        <f t="shared" ca="1" si="7"/>
        <v/>
      </c>
      <c r="I87" s="36" t="str">
        <f t="shared" ca="1" si="8"/>
        <v/>
      </c>
      <c r="J87" s="38" t="str">
        <f ca="1">IF(B87="","",'Hidden-Forecast Calculations'!L80)</f>
        <v/>
      </c>
      <c r="K87" s="54"/>
      <c r="L87" s="40"/>
      <c r="M87" s="40"/>
      <c r="N87" s="58" t="str">
        <f t="shared" ca="1" si="9"/>
        <v/>
      </c>
      <c r="O87" s="36" t="str">
        <f t="shared" ca="1" si="10"/>
        <v/>
      </c>
      <c r="P87" s="36" t="str">
        <f t="shared" ca="1" si="11"/>
        <v/>
      </c>
      <c r="Q87" s="54"/>
      <c r="R87" s="40"/>
      <c r="S87" s="97"/>
      <c r="T87" s="35" t="str">
        <f ca="1">'Hidden-Forecast Calculations'!R80</f>
        <v/>
      </c>
      <c r="U87" s="35" t="str">
        <f ca="1">'Hidden-Forecast Calculations'!S80</f>
        <v/>
      </c>
      <c r="V87" s="200" t="str">
        <f ca="1">'Hidden-Forecast Calculations'!T80</f>
        <v/>
      </c>
    </row>
    <row r="88" spans="2:22" ht="20.100000000000001" customHeight="1" x14ac:dyDescent="0.2">
      <c r="B88" s="42" t="str">
        <f ca="1">'Hidden-Forecast Calculations'!E81</f>
        <v/>
      </c>
      <c r="C88" s="36" t="str">
        <f ca="1">IF(B88="","",COUNTIF(EmployeeTable[Role],B88))</f>
        <v/>
      </c>
      <c r="D88" s="70" t="str">
        <f ca="1">IF(COUNTIF(EmployeeTable[Role],B88)=0,"",COUNTIFS(EmployeeTable[Role],B88,EmployeeTable[Over 55],1)/COUNTIF(EmployeeTable[Role],B88))</f>
        <v/>
      </c>
      <c r="E88" s="36" t="str">
        <f ca="1">IF(B88="","",'Hidden-Forecast Calculations'!G81)</f>
        <v/>
      </c>
      <c r="F88" s="37"/>
      <c r="G88" s="58" t="str">
        <f t="shared" ca="1" si="6"/>
        <v/>
      </c>
      <c r="H88" s="36" t="str">
        <f t="shared" ca="1" si="7"/>
        <v/>
      </c>
      <c r="I88" s="36" t="str">
        <f t="shared" ca="1" si="8"/>
        <v/>
      </c>
      <c r="J88" s="38" t="str">
        <f ca="1">IF(B88="","",'Hidden-Forecast Calculations'!L81)</f>
        <v/>
      </c>
      <c r="K88" s="54"/>
      <c r="L88" s="40"/>
      <c r="M88" s="40"/>
      <c r="N88" s="58" t="str">
        <f t="shared" ca="1" si="9"/>
        <v/>
      </c>
      <c r="O88" s="36" t="str">
        <f t="shared" ca="1" si="10"/>
        <v/>
      </c>
      <c r="P88" s="36" t="str">
        <f t="shared" ca="1" si="11"/>
        <v/>
      </c>
      <c r="Q88" s="54"/>
      <c r="R88" s="40"/>
      <c r="S88" s="97"/>
      <c r="T88" s="35" t="str">
        <f ca="1">'Hidden-Forecast Calculations'!R81</f>
        <v/>
      </c>
      <c r="U88" s="35" t="str">
        <f ca="1">'Hidden-Forecast Calculations'!S81</f>
        <v/>
      </c>
      <c r="V88" s="200" t="str">
        <f ca="1">'Hidden-Forecast Calculations'!T81</f>
        <v/>
      </c>
    </row>
    <row r="89" spans="2:22" ht="20.100000000000001" customHeight="1" x14ac:dyDescent="0.2">
      <c r="B89" s="42" t="str">
        <f ca="1">'Hidden-Forecast Calculations'!E82</f>
        <v/>
      </c>
      <c r="C89" s="36" t="str">
        <f ca="1">IF(B89="","",COUNTIF(EmployeeTable[Role],B89))</f>
        <v/>
      </c>
      <c r="D89" s="70" t="str">
        <f ca="1">IF(COUNTIF(EmployeeTable[Role],B89)=0,"",COUNTIFS(EmployeeTable[Role],B89,EmployeeTable[Over 55],1)/COUNTIF(EmployeeTable[Role],B89))</f>
        <v/>
      </c>
      <c r="E89" s="36" t="str">
        <f ca="1">IF(B89="","",'Hidden-Forecast Calculations'!G82)</f>
        <v/>
      </c>
      <c r="F89" s="37"/>
      <c r="G89" s="58" t="str">
        <f t="shared" ca="1" si="6"/>
        <v/>
      </c>
      <c r="H89" s="36" t="str">
        <f t="shared" ca="1" si="7"/>
        <v/>
      </c>
      <c r="I89" s="36" t="str">
        <f t="shared" ca="1" si="8"/>
        <v/>
      </c>
      <c r="J89" s="38" t="str">
        <f ca="1">IF(B89="","",'Hidden-Forecast Calculations'!L82)</f>
        <v/>
      </c>
      <c r="K89" s="54"/>
      <c r="L89" s="40"/>
      <c r="M89" s="40"/>
      <c r="N89" s="58" t="str">
        <f t="shared" ca="1" si="9"/>
        <v/>
      </c>
      <c r="O89" s="36" t="str">
        <f t="shared" ca="1" si="10"/>
        <v/>
      </c>
      <c r="P89" s="36" t="str">
        <f t="shared" ca="1" si="11"/>
        <v/>
      </c>
      <c r="Q89" s="54"/>
      <c r="R89" s="40"/>
      <c r="S89" s="97"/>
      <c r="T89" s="35" t="str">
        <f ca="1">'Hidden-Forecast Calculations'!R82</f>
        <v/>
      </c>
      <c r="U89" s="35" t="str">
        <f ca="1">'Hidden-Forecast Calculations'!S82</f>
        <v/>
      </c>
      <c r="V89" s="200" t="str">
        <f ca="1">'Hidden-Forecast Calculations'!T82</f>
        <v/>
      </c>
    </row>
    <row r="90" spans="2:22" ht="20.100000000000001" customHeight="1" x14ac:dyDescent="0.2">
      <c r="B90" s="42" t="str">
        <f ca="1">'Hidden-Forecast Calculations'!E83</f>
        <v/>
      </c>
      <c r="C90" s="36" t="str">
        <f ca="1">IF(B90="","",COUNTIF(EmployeeTable[Role],B90))</f>
        <v/>
      </c>
      <c r="D90" s="70" t="str">
        <f ca="1">IF(COUNTIF(EmployeeTable[Role],B90)=0,"",COUNTIFS(EmployeeTable[Role],B90,EmployeeTable[Over 55],1)/COUNTIF(EmployeeTable[Role],B90))</f>
        <v/>
      </c>
      <c r="E90" s="36" t="str">
        <f ca="1">IF(B90="","",'Hidden-Forecast Calculations'!G83)</f>
        <v/>
      </c>
      <c r="F90" s="37"/>
      <c r="G90" s="58" t="str">
        <f t="shared" ca="1" si="6"/>
        <v/>
      </c>
      <c r="H90" s="36" t="str">
        <f t="shared" ca="1" si="7"/>
        <v/>
      </c>
      <c r="I90" s="36" t="str">
        <f t="shared" ca="1" si="8"/>
        <v/>
      </c>
      <c r="J90" s="38" t="str">
        <f ca="1">IF(B90="","",'Hidden-Forecast Calculations'!L83)</f>
        <v/>
      </c>
      <c r="K90" s="54"/>
      <c r="L90" s="40"/>
      <c r="M90" s="40"/>
      <c r="N90" s="58" t="str">
        <f t="shared" ca="1" si="9"/>
        <v/>
      </c>
      <c r="O90" s="36" t="str">
        <f t="shared" ca="1" si="10"/>
        <v/>
      </c>
      <c r="P90" s="36" t="str">
        <f t="shared" ca="1" si="11"/>
        <v/>
      </c>
      <c r="Q90" s="54"/>
      <c r="R90" s="40"/>
      <c r="S90" s="97"/>
      <c r="T90" s="35" t="str">
        <f ca="1">'Hidden-Forecast Calculations'!R83</f>
        <v/>
      </c>
      <c r="U90" s="35" t="str">
        <f ca="1">'Hidden-Forecast Calculations'!S83</f>
        <v/>
      </c>
      <c r="V90" s="200" t="str">
        <f ca="1">'Hidden-Forecast Calculations'!T83</f>
        <v/>
      </c>
    </row>
    <row r="91" spans="2:22" ht="20.100000000000001" customHeight="1" x14ac:dyDescent="0.2">
      <c r="B91" s="42" t="str">
        <f ca="1">'Hidden-Forecast Calculations'!E84</f>
        <v/>
      </c>
      <c r="C91" s="36" t="str">
        <f ca="1">IF(B91="","",COUNTIF(EmployeeTable[Role],B91))</f>
        <v/>
      </c>
      <c r="D91" s="70" t="str">
        <f ca="1">IF(COUNTIF(EmployeeTable[Role],B91)=0,"",COUNTIFS(EmployeeTable[Role],B91,EmployeeTable[Over 55],1)/COUNTIF(EmployeeTable[Role],B91))</f>
        <v/>
      </c>
      <c r="E91" s="36" t="str">
        <f ca="1">IF(B91="","",'Hidden-Forecast Calculations'!G84)</f>
        <v/>
      </c>
      <c r="F91" s="37"/>
      <c r="G91" s="58" t="str">
        <f t="shared" ca="1" si="6"/>
        <v/>
      </c>
      <c r="H91" s="36" t="str">
        <f t="shared" ca="1" si="7"/>
        <v/>
      </c>
      <c r="I91" s="36" t="str">
        <f t="shared" ca="1" si="8"/>
        <v/>
      </c>
      <c r="J91" s="38" t="str">
        <f ca="1">IF(B91="","",'Hidden-Forecast Calculations'!L84)</f>
        <v/>
      </c>
      <c r="K91" s="54"/>
      <c r="L91" s="40"/>
      <c r="M91" s="40"/>
      <c r="N91" s="58" t="str">
        <f t="shared" ca="1" si="9"/>
        <v/>
      </c>
      <c r="O91" s="36" t="str">
        <f t="shared" ca="1" si="10"/>
        <v/>
      </c>
      <c r="P91" s="36" t="str">
        <f t="shared" ca="1" si="11"/>
        <v/>
      </c>
      <c r="Q91" s="54"/>
      <c r="R91" s="40"/>
      <c r="S91" s="97"/>
      <c r="T91" s="35" t="str">
        <f ca="1">'Hidden-Forecast Calculations'!R84</f>
        <v/>
      </c>
      <c r="U91" s="35" t="str">
        <f ca="1">'Hidden-Forecast Calculations'!S84</f>
        <v/>
      </c>
      <c r="V91" s="200" t="str">
        <f ca="1">'Hidden-Forecast Calculations'!T84</f>
        <v/>
      </c>
    </row>
    <row r="92" spans="2:22" ht="20.100000000000001" customHeight="1" x14ac:dyDescent="0.2">
      <c r="B92" s="42" t="str">
        <f ca="1">'Hidden-Forecast Calculations'!E85</f>
        <v/>
      </c>
      <c r="C92" s="36" t="str">
        <f ca="1">IF(B92="","",COUNTIF(EmployeeTable[Role],B92))</f>
        <v/>
      </c>
      <c r="D92" s="70" t="str">
        <f ca="1">IF(COUNTIF(EmployeeTable[Role],B92)=0,"",COUNTIFS(EmployeeTable[Role],B92,EmployeeTable[Over 55],1)/COUNTIF(EmployeeTable[Role],B92))</f>
        <v/>
      </c>
      <c r="E92" s="36" t="str">
        <f ca="1">IF(B92="","",'Hidden-Forecast Calculations'!G85)</f>
        <v/>
      </c>
      <c r="F92" s="37"/>
      <c r="G92" s="58" t="str">
        <f t="shared" ca="1" si="6"/>
        <v/>
      </c>
      <c r="H92" s="36" t="str">
        <f t="shared" ca="1" si="7"/>
        <v/>
      </c>
      <c r="I92" s="36" t="str">
        <f t="shared" ca="1" si="8"/>
        <v/>
      </c>
      <c r="J92" s="38" t="str">
        <f ca="1">IF(B92="","",'Hidden-Forecast Calculations'!L85)</f>
        <v/>
      </c>
      <c r="K92" s="54"/>
      <c r="L92" s="40"/>
      <c r="M92" s="40"/>
      <c r="N92" s="58" t="str">
        <f t="shared" ca="1" si="9"/>
        <v/>
      </c>
      <c r="O92" s="36" t="str">
        <f t="shared" ca="1" si="10"/>
        <v/>
      </c>
      <c r="P92" s="36" t="str">
        <f t="shared" ca="1" si="11"/>
        <v/>
      </c>
      <c r="Q92" s="54"/>
      <c r="R92" s="40"/>
      <c r="S92" s="97"/>
      <c r="T92" s="35" t="str">
        <f ca="1">'Hidden-Forecast Calculations'!R85</f>
        <v/>
      </c>
      <c r="U92" s="35" t="str">
        <f ca="1">'Hidden-Forecast Calculations'!S85</f>
        <v/>
      </c>
      <c r="V92" s="200" t="str">
        <f ca="1">'Hidden-Forecast Calculations'!T85</f>
        <v/>
      </c>
    </row>
    <row r="93" spans="2:22" ht="20.100000000000001" customHeight="1" x14ac:dyDescent="0.2">
      <c r="B93" s="42" t="str">
        <f ca="1">'Hidden-Forecast Calculations'!E86</f>
        <v/>
      </c>
      <c r="C93" s="36" t="str">
        <f ca="1">IF(B93="","",COUNTIF(EmployeeTable[Role],B93))</f>
        <v/>
      </c>
      <c r="D93" s="70" t="str">
        <f ca="1">IF(COUNTIF(EmployeeTable[Role],B93)=0,"",COUNTIFS(EmployeeTable[Role],B93,EmployeeTable[Over 55],1)/COUNTIF(EmployeeTable[Role],B93))</f>
        <v/>
      </c>
      <c r="E93" s="36" t="str">
        <f ca="1">IF(B93="","",'Hidden-Forecast Calculations'!G86)</f>
        <v/>
      </c>
      <c r="F93" s="37"/>
      <c r="G93" s="58" t="str">
        <f t="shared" ca="1" si="6"/>
        <v/>
      </c>
      <c r="H93" s="36" t="str">
        <f t="shared" ca="1" si="7"/>
        <v/>
      </c>
      <c r="I93" s="36" t="str">
        <f t="shared" ca="1" si="8"/>
        <v/>
      </c>
      <c r="J93" s="38" t="str">
        <f ca="1">IF(B93="","",'Hidden-Forecast Calculations'!L86)</f>
        <v/>
      </c>
      <c r="K93" s="54"/>
      <c r="L93" s="40"/>
      <c r="M93" s="40"/>
      <c r="N93" s="58" t="str">
        <f t="shared" ca="1" si="9"/>
        <v/>
      </c>
      <c r="O93" s="36" t="str">
        <f t="shared" ca="1" si="10"/>
        <v/>
      </c>
      <c r="P93" s="36" t="str">
        <f t="shared" ca="1" si="11"/>
        <v/>
      </c>
      <c r="Q93" s="54"/>
      <c r="R93" s="40"/>
      <c r="S93" s="97"/>
      <c r="T93" s="35" t="str">
        <f ca="1">'Hidden-Forecast Calculations'!R86</f>
        <v/>
      </c>
      <c r="U93" s="35" t="str">
        <f ca="1">'Hidden-Forecast Calculations'!S86</f>
        <v/>
      </c>
      <c r="V93" s="200" t="str">
        <f ca="1">'Hidden-Forecast Calculations'!T86</f>
        <v/>
      </c>
    </row>
    <row r="94" spans="2:22" ht="20.100000000000001" customHeight="1" x14ac:dyDescent="0.2">
      <c r="B94" s="42" t="str">
        <f ca="1">'Hidden-Forecast Calculations'!E87</f>
        <v/>
      </c>
      <c r="C94" s="36" t="str">
        <f ca="1">IF(B94="","",COUNTIF(EmployeeTable[Role],B94))</f>
        <v/>
      </c>
      <c r="D94" s="70" t="str">
        <f ca="1">IF(COUNTIF(EmployeeTable[Role],B94)=0,"",COUNTIFS(EmployeeTable[Role],B94,EmployeeTable[Over 55],1)/COUNTIF(EmployeeTable[Role],B94))</f>
        <v/>
      </c>
      <c r="E94" s="36" t="str">
        <f ca="1">IF(B94="","",'Hidden-Forecast Calculations'!G87)</f>
        <v/>
      </c>
      <c r="F94" s="37"/>
      <c r="G94" s="58" t="str">
        <f t="shared" ca="1" si="6"/>
        <v/>
      </c>
      <c r="H94" s="36" t="str">
        <f t="shared" ca="1" si="7"/>
        <v/>
      </c>
      <c r="I94" s="36" t="str">
        <f t="shared" ca="1" si="8"/>
        <v/>
      </c>
      <c r="J94" s="38" t="str">
        <f ca="1">IF(B94="","",'Hidden-Forecast Calculations'!L87)</f>
        <v/>
      </c>
      <c r="K94" s="54"/>
      <c r="L94" s="40"/>
      <c r="M94" s="40"/>
      <c r="N94" s="58" t="str">
        <f t="shared" ca="1" si="9"/>
        <v/>
      </c>
      <c r="O94" s="36" t="str">
        <f t="shared" ca="1" si="10"/>
        <v/>
      </c>
      <c r="P94" s="36" t="str">
        <f t="shared" ca="1" si="11"/>
        <v/>
      </c>
      <c r="Q94" s="54"/>
      <c r="R94" s="40"/>
      <c r="S94" s="97"/>
      <c r="T94" s="35" t="str">
        <f ca="1">'Hidden-Forecast Calculations'!R87</f>
        <v/>
      </c>
      <c r="U94" s="35" t="str">
        <f ca="1">'Hidden-Forecast Calculations'!S87</f>
        <v/>
      </c>
      <c r="V94" s="200" t="str">
        <f ca="1">'Hidden-Forecast Calculations'!T87</f>
        <v/>
      </c>
    </row>
    <row r="95" spans="2:22" ht="20.100000000000001" customHeight="1" x14ac:dyDescent="0.2">
      <c r="B95" s="42" t="str">
        <f ca="1">'Hidden-Forecast Calculations'!E88</f>
        <v/>
      </c>
      <c r="C95" s="36" t="str">
        <f ca="1">IF(B95="","",COUNTIF(EmployeeTable[Role],B95))</f>
        <v/>
      </c>
      <c r="D95" s="70" t="str">
        <f ca="1">IF(COUNTIF(EmployeeTable[Role],B95)=0,"",COUNTIFS(EmployeeTable[Role],B95,EmployeeTable[Over 55],1)/COUNTIF(EmployeeTable[Role],B95))</f>
        <v/>
      </c>
      <c r="E95" s="36" t="str">
        <f ca="1">IF(B95="","",'Hidden-Forecast Calculations'!G88)</f>
        <v/>
      </c>
      <c r="F95" s="37"/>
      <c r="G95" s="58" t="str">
        <f t="shared" ca="1" si="6"/>
        <v/>
      </c>
      <c r="H95" s="36" t="str">
        <f t="shared" ca="1" si="7"/>
        <v/>
      </c>
      <c r="I95" s="36" t="str">
        <f t="shared" ca="1" si="8"/>
        <v/>
      </c>
      <c r="J95" s="38" t="str">
        <f ca="1">IF(B95="","",'Hidden-Forecast Calculations'!L88)</f>
        <v/>
      </c>
      <c r="K95" s="54"/>
      <c r="L95" s="40"/>
      <c r="M95" s="40"/>
      <c r="N95" s="58" t="str">
        <f t="shared" ca="1" si="9"/>
        <v/>
      </c>
      <c r="O95" s="36" t="str">
        <f t="shared" ca="1" si="10"/>
        <v/>
      </c>
      <c r="P95" s="36" t="str">
        <f t="shared" ca="1" si="11"/>
        <v/>
      </c>
      <c r="Q95" s="54"/>
      <c r="R95" s="40"/>
      <c r="S95" s="97"/>
      <c r="T95" s="35" t="str">
        <f ca="1">'Hidden-Forecast Calculations'!R88</f>
        <v/>
      </c>
      <c r="U95" s="35" t="str">
        <f ca="1">'Hidden-Forecast Calculations'!S88</f>
        <v/>
      </c>
      <c r="V95" s="200" t="str">
        <f ca="1">'Hidden-Forecast Calculations'!T88</f>
        <v/>
      </c>
    </row>
    <row r="96" spans="2:22" ht="20.100000000000001" customHeight="1" x14ac:dyDescent="0.2">
      <c r="B96" s="42" t="str">
        <f ca="1">'Hidden-Forecast Calculations'!E89</f>
        <v/>
      </c>
      <c r="C96" s="36" t="str">
        <f ca="1">IF(B96="","",COUNTIF(EmployeeTable[Role],B96))</f>
        <v/>
      </c>
      <c r="D96" s="70" t="str">
        <f ca="1">IF(COUNTIF(EmployeeTable[Role],B96)=0,"",COUNTIFS(EmployeeTable[Role],B96,EmployeeTable[Over 55],1)/COUNTIF(EmployeeTable[Role],B96))</f>
        <v/>
      </c>
      <c r="E96" s="36" t="str">
        <f ca="1">IF(B96="","",'Hidden-Forecast Calculations'!G89)</f>
        <v/>
      </c>
      <c r="F96" s="37"/>
      <c r="G96" s="58" t="str">
        <f t="shared" ca="1" si="6"/>
        <v/>
      </c>
      <c r="H96" s="36" t="str">
        <f t="shared" ca="1" si="7"/>
        <v/>
      </c>
      <c r="I96" s="36" t="str">
        <f t="shared" ca="1" si="8"/>
        <v/>
      </c>
      <c r="J96" s="38" t="str">
        <f ca="1">IF(B96="","",'Hidden-Forecast Calculations'!L89)</f>
        <v/>
      </c>
      <c r="K96" s="54"/>
      <c r="L96" s="40"/>
      <c r="M96" s="40"/>
      <c r="N96" s="58" t="str">
        <f t="shared" ca="1" si="9"/>
        <v/>
      </c>
      <c r="O96" s="36" t="str">
        <f t="shared" ca="1" si="10"/>
        <v/>
      </c>
      <c r="P96" s="36" t="str">
        <f t="shared" ca="1" si="11"/>
        <v/>
      </c>
      <c r="Q96" s="54"/>
      <c r="R96" s="40"/>
      <c r="S96" s="97"/>
      <c r="T96" s="35" t="str">
        <f ca="1">'Hidden-Forecast Calculations'!R89</f>
        <v/>
      </c>
      <c r="U96" s="35" t="str">
        <f ca="1">'Hidden-Forecast Calculations'!S89</f>
        <v/>
      </c>
      <c r="V96" s="200" t="str">
        <f ca="1">'Hidden-Forecast Calculations'!T89</f>
        <v/>
      </c>
    </row>
    <row r="97" spans="2:22" ht="20.100000000000001" customHeight="1" x14ac:dyDescent="0.2">
      <c r="B97" s="42" t="str">
        <f ca="1">'Hidden-Forecast Calculations'!E90</f>
        <v/>
      </c>
      <c r="C97" s="36" t="str">
        <f ca="1">IF(B97="","",COUNTIF(EmployeeTable[Role],B97))</f>
        <v/>
      </c>
      <c r="D97" s="70" t="str">
        <f ca="1">IF(COUNTIF(EmployeeTable[Role],B97)=0,"",COUNTIFS(EmployeeTable[Role],B97,EmployeeTable[Over 55],1)/COUNTIF(EmployeeTable[Role],B97))</f>
        <v/>
      </c>
      <c r="E97" s="36" t="str">
        <f ca="1">IF(B97="","",'Hidden-Forecast Calculations'!G90)</f>
        <v/>
      </c>
      <c r="F97" s="37"/>
      <c r="G97" s="58" t="str">
        <f t="shared" ca="1" si="6"/>
        <v/>
      </c>
      <c r="H97" s="36" t="str">
        <f t="shared" ca="1" si="7"/>
        <v/>
      </c>
      <c r="I97" s="36" t="str">
        <f t="shared" ca="1" si="8"/>
        <v/>
      </c>
      <c r="J97" s="38" t="str">
        <f ca="1">IF(B97="","",'Hidden-Forecast Calculations'!L90)</f>
        <v/>
      </c>
      <c r="K97" s="54"/>
      <c r="L97" s="40"/>
      <c r="M97" s="40"/>
      <c r="N97" s="58" t="str">
        <f t="shared" ca="1" si="9"/>
        <v/>
      </c>
      <c r="O97" s="36" t="str">
        <f t="shared" ca="1" si="10"/>
        <v/>
      </c>
      <c r="P97" s="36" t="str">
        <f t="shared" ca="1" si="11"/>
        <v/>
      </c>
      <c r="Q97" s="54"/>
      <c r="R97" s="40"/>
      <c r="S97" s="97"/>
      <c r="T97" s="35" t="str">
        <f ca="1">'Hidden-Forecast Calculations'!R90</f>
        <v/>
      </c>
      <c r="U97" s="35" t="str">
        <f ca="1">'Hidden-Forecast Calculations'!S90</f>
        <v/>
      </c>
      <c r="V97" s="200" t="str">
        <f ca="1">'Hidden-Forecast Calculations'!T90</f>
        <v/>
      </c>
    </row>
    <row r="98" spans="2:22" ht="20.100000000000001" customHeight="1" x14ac:dyDescent="0.2">
      <c r="B98" s="42" t="str">
        <f ca="1">'Hidden-Forecast Calculations'!E91</f>
        <v/>
      </c>
      <c r="C98" s="36" t="str">
        <f ca="1">IF(B98="","",COUNTIF(EmployeeTable[Role],B98))</f>
        <v/>
      </c>
      <c r="D98" s="70" t="str">
        <f ca="1">IF(COUNTIF(EmployeeTable[Role],B98)=0,"",COUNTIFS(EmployeeTable[Role],B98,EmployeeTable[Over 55],1)/COUNTIF(EmployeeTable[Role],B98))</f>
        <v/>
      </c>
      <c r="E98" s="36" t="str">
        <f ca="1">IF(B98="","",'Hidden-Forecast Calculations'!G91)</f>
        <v/>
      </c>
      <c r="F98" s="37"/>
      <c r="G98" s="58" t="str">
        <f t="shared" ca="1" si="6"/>
        <v/>
      </c>
      <c r="H98" s="36" t="str">
        <f t="shared" ca="1" si="7"/>
        <v/>
      </c>
      <c r="I98" s="36" t="str">
        <f t="shared" ca="1" si="8"/>
        <v/>
      </c>
      <c r="J98" s="38" t="str">
        <f ca="1">IF(B98="","",'Hidden-Forecast Calculations'!L91)</f>
        <v/>
      </c>
      <c r="K98" s="54"/>
      <c r="L98" s="40"/>
      <c r="M98" s="40"/>
      <c r="N98" s="58" t="str">
        <f t="shared" ca="1" si="9"/>
        <v/>
      </c>
      <c r="O98" s="36" t="str">
        <f t="shared" ca="1" si="10"/>
        <v/>
      </c>
      <c r="P98" s="36" t="str">
        <f t="shared" ca="1" si="11"/>
        <v/>
      </c>
      <c r="Q98" s="54"/>
      <c r="R98" s="40"/>
      <c r="S98" s="97"/>
      <c r="T98" s="35" t="str">
        <f ca="1">'Hidden-Forecast Calculations'!R91</f>
        <v/>
      </c>
      <c r="U98" s="35" t="str">
        <f ca="1">'Hidden-Forecast Calculations'!S91</f>
        <v/>
      </c>
      <c r="V98" s="200" t="str">
        <f ca="1">'Hidden-Forecast Calculations'!T91</f>
        <v/>
      </c>
    </row>
    <row r="99" spans="2:22" ht="20.100000000000001" customHeight="1" x14ac:dyDescent="0.2">
      <c r="B99" s="42" t="str">
        <f ca="1">'Hidden-Forecast Calculations'!E92</f>
        <v/>
      </c>
      <c r="C99" s="36" t="str">
        <f ca="1">IF(B99="","",COUNTIF(EmployeeTable[Role],B99))</f>
        <v/>
      </c>
      <c r="D99" s="70" t="str">
        <f ca="1">IF(COUNTIF(EmployeeTable[Role],B99)=0,"",COUNTIFS(EmployeeTable[Role],B99,EmployeeTable[Over 55],1)/COUNTIF(EmployeeTable[Role],B99))</f>
        <v/>
      </c>
      <c r="E99" s="36" t="str">
        <f ca="1">IF(B99="","",'Hidden-Forecast Calculations'!G92)</f>
        <v/>
      </c>
      <c r="F99" s="37"/>
      <c r="G99" s="58" t="str">
        <f t="shared" ca="1" si="6"/>
        <v/>
      </c>
      <c r="H99" s="36" t="str">
        <f t="shared" ca="1" si="7"/>
        <v/>
      </c>
      <c r="I99" s="36" t="str">
        <f t="shared" ca="1" si="8"/>
        <v/>
      </c>
      <c r="J99" s="38" t="str">
        <f ca="1">IF(B99="","",'Hidden-Forecast Calculations'!L92)</f>
        <v/>
      </c>
      <c r="K99" s="54"/>
      <c r="L99" s="40"/>
      <c r="M99" s="40"/>
      <c r="N99" s="58" t="str">
        <f t="shared" ca="1" si="9"/>
        <v/>
      </c>
      <c r="O99" s="36" t="str">
        <f t="shared" ca="1" si="10"/>
        <v/>
      </c>
      <c r="P99" s="36" t="str">
        <f t="shared" ca="1" si="11"/>
        <v/>
      </c>
      <c r="Q99" s="54"/>
      <c r="R99" s="40"/>
      <c r="S99" s="97"/>
      <c r="T99" s="35" t="str">
        <f ca="1">'Hidden-Forecast Calculations'!R92</f>
        <v/>
      </c>
      <c r="U99" s="35" t="str">
        <f ca="1">'Hidden-Forecast Calculations'!S92</f>
        <v/>
      </c>
      <c r="V99" s="200" t="str">
        <f ca="1">'Hidden-Forecast Calculations'!T92</f>
        <v/>
      </c>
    </row>
    <row r="100" spans="2:22" ht="20.100000000000001" customHeight="1" x14ac:dyDescent="0.2">
      <c r="B100" s="42" t="str">
        <f ca="1">'Hidden-Forecast Calculations'!E93</f>
        <v/>
      </c>
      <c r="C100" s="36" t="str">
        <f ca="1">IF(B100="","",COUNTIF(EmployeeTable[Role],B100))</f>
        <v/>
      </c>
      <c r="D100" s="70" t="str">
        <f ca="1">IF(COUNTIF(EmployeeTable[Role],B100)=0,"",COUNTIFS(EmployeeTable[Role],B100,EmployeeTable[Over 55],1)/COUNTIF(EmployeeTable[Role],B100))</f>
        <v/>
      </c>
      <c r="E100" s="36" t="str">
        <f ca="1">IF(B100="","",'Hidden-Forecast Calculations'!G93)</f>
        <v/>
      </c>
      <c r="F100" s="37"/>
      <c r="G100" s="58" t="str">
        <f t="shared" ca="1" si="6"/>
        <v/>
      </c>
      <c r="H100" s="36" t="str">
        <f t="shared" ca="1" si="7"/>
        <v/>
      </c>
      <c r="I100" s="36" t="str">
        <f t="shared" ca="1" si="8"/>
        <v/>
      </c>
      <c r="J100" s="38" t="str">
        <f ca="1">IF(B100="","",'Hidden-Forecast Calculations'!L93)</f>
        <v/>
      </c>
      <c r="K100" s="54"/>
      <c r="L100" s="40"/>
      <c r="M100" s="40"/>
      <c r="N100" s="58" t="str">
        <f t="shared" ca="1" si="9"/>
        <v/>
      </c>
      <c r="O100" s="36" t="str">
        <f t="shared" ca="1" si="10"/>
        <v/>
      </c>
      <c r="P100" s="36" t="str">
        <f t="shared" ca="1" si="11"/>
        <v/>
      </c>
      <c r="Q100" s="54"/>
      <c r="R100" s="40"/>
      <c r="S100" s="97"/>
      <c r="T100" s="35" t="str">
        <f ca="1">'Hidden-Forecast Calculations'!R93</f>
        <v/>
      </c>
      <c r="U100" s="35" t="str">
        <f ca="1">'Hidden-Forecast Calculations'!S93</f>
        <v/>
      </c>
      <c r="V100" s="200" t="str">
        <f ca="1">'Hidden-Forecast Calculations'!T93</f>
        <v/>
      </c>
    </row>
    <row r="101" spans="2:22" ht="20.100000000000001" customHeight="1" x14ac:dyDescent="0.2">
      <c r="B101" s="42" t="str">
        <f ca="1">'Hidden-Forecast Calculations'!E94</f>
        <v/>
      </c>
      <c r="C101" s="36" t="str">
        <f ca="1">IF(B101="","",COUNTIF(EmployeeTable[Role],B101))</f>
        <v/>
      </c>
      <c r="D101" s="70" t="str">
        <f ca="1">IF(COUNTIF(EmployeeTable[Role],B101)=0,"",COUNTIFS(EmployeeTable[Role],B101,EmployeeTable[Over 55],1)/COUNTIF(EmployeeTable[Role],B101))</f>
        <v/>
      </c>
      <c r="E101" s="36" t="str">
        <f ca="1">IF(B101="","",'Hidden-Forecast Calculations'!G94)</f>
        <v/>
      </c>
      <c r="F101" s="37"/>
      <c r="G101" s="58" t="str">
        <f t="shared" ca="1" si="6"/>
        <v/>
      </c>
      <c r="H101" s="36" t="str">
        <f t="shared" ca="1" si="7"/>
        <v/>
      </c>
      <c r="I101" s="36" t="str">
        <f t="shared" ca="1" si="8"/>
        <v/>
      </c>
      <c r="J101" s="38" t="str">
        <f ca="1">IF(B101="","",'Hidden-Forecast Calculations'!L94)</f>
        <v/>
      </c>
      <c r="K101" s="54"/>
      <c r="L101" s="40"/>
      <c r="M101" s="40"/>
      <c r="N101" s="58" t="str">
        <f t="shared" ca="1" si="9"/>
        <v/>
      </c>
      <c r="O101" s="36" t="str">
        <f t="shared" ca="1" si="10"/>
        <v/>
      </c>
      <c r="P101" s="36" t="str">
        <f t="shared" ca="1" si="11"/>
        <v/>
      </c>
      <c r="Q101" s="54"/>
      <c r="R101" s="40"/>
      <c r="S101" s="97"/>
      <c r="T101" s="35" t="str">
        <f ca="1">'Hidden-Forecast Calculations'!R94</f>
        <v/>
      </c>
      <c r="U101" s="35" t="str">
        <f ca="1">'Hidden-Forecast Calculations'!S94</f>
        <v/>
      </c>
      <c r="V101" s="200" t="str">
        <f ca="1">'Hidden-Forecast Calculations'!T94</f>
        <v/>
      </c>
    </row>
    <row r="102" spans="2:22" ht="20.100000000000001" customHeight="1" x14ac:dyDescent="0.2">
      <c r="B102" s="42" t="str">
        <f ca="1">'Hidden-Forecast Calculations'!E95</f>
        <v/>
      </c>
      <c r="C102" s="36" t="str">
        <f ca="1">IF(B102="","",COUNTIF(EmployeeTable[Role],B102))</f>
        <v/>
      </c>
      <c r="D102" s="70" t="str">
        <f ca="1">IF(COUNTIF(EmployeeTable[Role],B102)=0,"",COUNTIFS(EmployeeTable[Role],B102,EmployeeTable[Over 55],1)/COUNTIF(EmployeeTable[Role],B102))</f>
        <v/>
      </c>
      <c r="E102" s="36" t="str">
        <f ca="1">IF(B102="","",'Hidden-Forecast Calculations'!G95)</f>
        <v/>
      </c>
      <c r="F102" s="37"/>
      <c r="G102" s="58" t="str">
        <f t="shared" ca="1" si="6"/>
        <v/>
      </c>
      <c r="H102" s="36" t="str">
        <f t="shared" ca="1" si="7"/>
        <v/>
      </c>
      <c r="I102" s="36" t="str">
        <f t="shared" ca="1" si="8"/>
        <v/>
      </c>
      <c r="J102" s="38" t="str">
        <f ca="1">IF(B102="","",'Hidden-Forecast Calculations'!L95)</f>
        <v/>
      </c>
      <c r="K102" s="54"/>
      <c r="L102" s="40"/>
      <c r="M102" s="40"/>
      <c r="N102" s="58" t="str">
        <f t="shared" ca="1" si="9"/>
        <v/>
      </c>
      <c r="O102" s="36" t="str">
        <f t="shared" ca="1" si="10"/>
        <v/>
      </c>
      <c r="P102" s="36" t="str">
        <f t="shared" ca="1" si="11"/>
        <v/>
      </c>
      <c r="Q102" s="54"/>
      <c r="R102" s="40"/>
      <c r="S102" s="97"/>
      <c r="T102" s="35" t="str">
        <f ca="1">'Hidden-Forecast Calculations'!R95</f>
        <v/>
      </c>
      <c r="U102" s="35" t="str">
        <f ca="1">'Hidden-Forecast Calculations'!S95</f>
        <v/>
      </c>
      <c r="V102" s="200" t="str">
        <f ca="1">'Hidden-Forecast Calculations'!T95</f>
        <v/>
      </c>
    </row>
    <row r="103" spans="2:22" ht="20.100000000000001" customHeight="1" x14ac:dyDescent="0.2">
      <c r="B103" s="42" t="str">
        <f ca="1">'Hidden-Forecast Calculations'!E96</f>
        <v/>
      </c>
      <c r="C103" s="36" t="str">
        <f ca="1">IF(B103="","",COUNTIF(EmployeeTable[Role],B103))</f>
        <v/>
      </c>
      <c r="D103" s="70" t="str">
        <f ca="1">IF(COUNTIF(EmployeeTable[Role],B103)=0,"",COUNTIFS(EmployeeTable[Role],B103,EmployeeTable[Over 55],1)/COUNTIF(EmployeeTable[Role],B103))</f>
        <v/>
      </c>
      <c r="E103" s="36" t="str">
        <f ca="1">IF(B103="","",'Hidden-Forecast Calculations'!G96)</f>
        <v/>
      </c>
      <c r="F103" s="37"/>
      <c r="G103" s="58" t="str">
        <f t="shared" ca="1" si="6"/>
        <v/>
      </c>
      <c r="H103" s="36" t="str">
        <f t="shared" ca="1" si="7"/>
        <v/>
      </c>
      <c r="I103" s="36" t="str">
        <f t="shared" ca="1" si="8"/>
        <v/>
      </c>
      <c r="J103" s="38" t="str">
        <f ca="1">IF(B103="","",'Hidden-Forecast Calculations'!L96)</f>
        <v/>
      </c>
      <c r="K103" s="54"/>
      <c r="L103" s="40"/>
      <c r="M103" s="40"/>
      <c r="N103" s="58" t="str">
        <f t="shared" ca="1" si="9"/>
        <v/>
      </c>
      <c r="O103" s="36" t="str">
        <f t="shared" ca="1" si="10"/>
        <v/>
      </c>
      <c r="P103" s="36" t="str">
        <f t="shared" ca="1" si="11"/>
        <v/>
      </c>
      <c r="Q103" s="54"/>
      <c r="R103" s="40"/>
      <c r="S103" s="97"/>
      <c r="T103" s="35" t="str">
        <f ca="1">'Hidden-Forecast Calculations'!R96</f>
        <v/>
      </c>
      <c r="U103" s="35" t="str">
        <f ca="1">'Hidden-Forecast Calculations'!S96</f>
        <v/>
      </c>
      <c r="V103" s="200" t="str">
        <f ca="1">'Hidden-Forecast Calculations'!T96</f>
        <v/>
      </c>
    </row>
    <row r="104" spans="2:22" ht="20.100000000000001" customHeight="1" x14ac:dyDescent="0.2">
      <c r="B104" s="42" t="str">
        <f ca="1">'Hidden-Forecast Calculations'!E97</f>
        <v/>
      </c>
      <c r="C104" s="36" t="str">
        <f ca="1">IF(B104="","",COUNTIF(EmployeeTable[Role],B104))</f>
        <v/>
      </c>
      <c r="D104" s="70" t="str">
        <f ca="1">IF(COUNTIF(EmployeeTable[Role],B104)=0,"",COUNTIFS(EmployeeTable[Role],B104,EmployeeTable[Over 55],1)/COUNTIF(EmployeeTable[Role],B104))</f>
        <v/>
      </c>
      <c r="E104" s="36" t="str">
        <f ca="1">IF(B104="","",'Hidden-Forecast Calculations'!G97)</f>
        <v/>
      </c>
      <c r="F104" s="37"/>
      <c r="G104" s="58" t="str">
        <f t="shared" ca="1" si="6"/>
        <v/>
      </c>
      <c r="H104" s="36" t="str">
        <f t="shared" ca="1" si="7"/>
        <v/>
      </c>
      <c r="I104" s="36" t="str">
        <f t="shared" ca="1" si="8"/>
        <v/>
      </c>
      <c r="J104" s="38" t="str">
        <f ca="1">IF(B104="","",'Hidden-Forecast Calculations'!L97)</f>
        <v/>
      </c>
      <c r="K104" s="54"/>
      <c r="L104" s="40"/>
      <c r="M104" s="40"/>
      <c r="N104" s="58" t="str">
        <f t="shared" ca="1" si="9"/>
        <v/>
      </c>
      <c r="O104" s="36" t="str">
        <f t="shared" ca="1" si="10"/>
        <v/>
      </c>
      <c r="P104" s="36" t="str">
        <f t="shared" ca="1" si="11"/>
        <v/>
      </c>
      <c r="Q104" s="54"/>
      <c r="R104" s="40"/>
      <c r="S104" s="97"/>
      <c r="T104" s="35" t="str">
        <f ca="1">'Hidden-Forecast Calculations'!R97</f>
        <v/>
      </c>
      <c r="U104" s="35" t="str">
        <f ca="1">'Hidden-Forecast Calculations'!S97</f>
        <v/>
      </c>
      <c r="V104" s="200" t="str">
        <f ca="1">'Hidden-Forecast Calculations'!T97</f>
        <v/>
      </c>
    </row>
    <row r="105" spans="2:22" ht="20.100000000000001" customHeight="1" x14ac:dyDescent="0.2">
      <c r="B105" s="42" t="str">
        <f ca="1">'Hidden-Forecast Calculations'!E98</f>
        <v/>
      </c>
      <c r="C105" s="36" t="str">
        <f ca="1">IF(B105="","",COUNTIF(EmployeeTable[Role],B105))</f>
        <v/>
      </c>
      <c r="D105" s="70" t="str">
        <f ca="1">IF(COUNTIF(EmployeeTable[Role],B105)=0,"",COUNTIFS(EmployeeTable[Role],B105,EmployeeTable[Over 55],1)/COUNTIF(EmployeeTable[Role],B105))</f>
        <v/>
      </c>
      <c r="E105" s="36" t="str">
        <f ca="1">IF(B105="","",'Hidden-Forecast Calculations'!G98)</f>
        <v/>
      </c>
      <c r="F105" s="37"/>
      <c r="G105" s="58" t="str">
        <f t="shared" ca="1" si="6"/>
        <v/>
      </c>
      <c r="H105" s="36" t="str">
        <f t="shared" ca="1" si="7"/>
        <v/>
      </c>
      <c r="I105" s="36" t="str">
        <f t="shared" ca="1" si="8"/>
        <v/>
      </c>
      <c r="J105" s="38" t="str">
        <f ca="1">IF(B105="","",'Hidden-Forecast Calculations'!L98)</f>
        <v/>
      </c>
      <c r="K105" s="54"/>
      <c r="L105" s="40"/>
      <c r="M105" s="40"/>
      <c r="N105" s="58" t="str">
        <f t="shared" ca="1" si="9"/>
        <v/>
      </c>
      <c r="O105" s="36" t="str">
        <f t="shared" ca="1" si="10"/>
        <v/>
      </c>
      <c r="P105" s="36" t="str">
        <f t="shared" ca="1" si="11"/>
        <v/>
      </c>
      <c r="Q105" s="54"/>
      <c r="R105" s="40"/>
      <c r="S105" s="97"/>
      <c r="T105" s="35" t="str">
        <f ca="1">'Hidden-Forecast Calculations'!R98</f>
        <v/>
      </c>
      <c r="U105" s="35" t="str">
        <f ca="1">'Hidden-Forecast Calculations'!S98</f>
        <v/>
      </c>
      <c r="V105" s="200" t="str">
        <f ca="1">'Hidden-Forecast Calculations'!T98</f>
        <v/>
      </c>
    </row>
    <row r="106" spans="2:22" ht="20.100000000000001" customHeight="1" x14ac:dyDescent="0.2">
      <c r="B106" s="42" t="str">
        <f ca="1">'Hidden-Forecast Calculations'!E99</f>
        <v/>
      </c>
      <c r="C106" s="36" t="str">
        <f ca="1">IF(B106="","",COUNTIF(EmployeeTable[Role],B106))</f>
        <v/>
      </c>
      <c r="D106" s="70" t="str">
        <f ca="1">IF(COUNTIF(EmployeeTable[Role],B106)=0,"",COUNTIFS(EmployeeTable[Role],B106,EmployeeTable[Over 55],1)/COUNTIF(EmployeeTable[Role],B106))</f>
        <v/>
      </c>
      <c r="E106" s="36" t="str">
        <f ca="1">IF(B106="","",'Hidden-Forecast Calculations'!G99)</f>
        <v/>
      </c>
      <c r="F106" s="37"/>
      <c r="G106" s="58" t="str">
        <f t="shared" ca="1" si="6"/>
        <v/>
      </c>
      <c r="H106" s="36" t="str">
        <f t="shared" ca="1" si="7"/>
        <v/>
      </c>
      <c r="I106" s="36" t="str">
        <f t="shared" ca="1" si="8"/>
        <v/>
      </c>
      <c r="J106" s="38" t="str">
        <f ca="1">IF(B106="","",'Hidden-Forecast Calculations'!L99)</f>
        <v/>
      </c>
      <c r="K106" s="54"/>
      <c r="L106" s="40"/>
      <c r="M106" s="40"/>
      <c r="N106" s="58" t="str">
        <f t="shared" ca="1" si="9"/>
        <v/>
      </c>
      <c r="O106" s="36" t="str">
        <f t="shared" ca="1" si="10"/>
        <v/>
      </c>
      <c r="P106" s="36" t="str">
        <f t="shared" ca="1" si="11"/>
        <v/>
      </c>
      <c r="Q106" s="54"/>
      <c r="R106" s="40"/>
      <c r="S106" s="97"/>
      <c r="T106" s="35" t="str">
        <f ca="1">'Hidden-Forecast Calculations'!R99</f>
        <v/>
      </c>
      <c r="U106" s="35" t="str">
        <f ca="1">'Hidden-Forecast Calculations'!S99</f>
        <v/>
      </c>
      <c r="V106" s="200" t="str">
        <f ca="1">'Hidden-Forecast Calculations'!T99</f>
        <v/>
      </c>
    </row>
    <row r="107" spans="2:22" ht="20.100000000000001" customHeight="1" x14ac:dyDescent="0.2">
      <c r="B107" s="42" t="str">
        <f ca="1">'Hidden-Forecast Calculations'!E100</f>
        <v/>
      </c>
      <c r="C107" s="36" t="str">
        <f ca="1">IF(B107="","",COUNTIF(EmployeeTable[Role],B107))</f>
        <v/>
      </c>
      <c r="D107" s="70" t="str">
        <f ca="1">IF(COUNTIF(EmployeeTable[Role],B107)=0,"",COUNTIFS(EmployeeTable[Role],B107,EmployeeTable[Over 55],1)/COUNTIF(EmployeeTable[Role],B107))</f>
        <v/>
      </c>
      <c r="E107" s="36" t="str">
        <f ca="1">IF(B107="","",'Hidden-Forecast Calculations'!G100)</f>
        <v/>
      </c>
      <c r="F107" s="37"/>
      <c r="G107" s="58" t="str">
        <f t="shared" ca="1" si="6"/>
        <v/>
      </c>
      <c r="H107" s="36" t="str">
        <f t="shared" ca="1" si="7"/>
        <v/>
      </c>
      <c r="I107" s="36" t="str">
        <f t="shared" ca="1" si="8"/>
        <v/>
      </c>
      <c r="J107" s="38" t="str">
        <f ca="1">IF(B107="","",'Hidden-Forecast Calculations'!L100)</f>
        <v/>
      </c>
      <c r="K107" s="54"/>
      <c r="L107" s="40"/>
      <c r="M107" s="40"/>
      <c r="N107" s="58" t="str">
        <f t="shared" ca="1" si="9"/>
        <v/>
      </c>
      <c r="O107" s="36" t="str">
        <f t="shared" ca="1" si="10"/>
        <v/>
      </c>
      <c r="P107" s="36" t="str">
        <f t="shared" ca="1" si="11"/>
        <v/>
      </c>
      <c r="Q107" s="54"/>
      <c r="R107" s="40"/>
      <c r="S107" s="97"/>
      <c r="T107" s="35" t="str">
        <f ca="1">'Hidden-Forecast Calculations'!R100</f>
        <v/>
      </c>
      <c r="U107" s="35" t="str">
        <f ca="1">'Hidden-Forecast Calculations'!S100</f>
        <v/>
      </c>
      <c r="V107" s="200" t="str">
        <f ca="1">'Hidden-Forecast Calculations'!T100</f>
        <v/>
      </c>
    </row>
    <row r="108" spans="2:22" ht="20.100000000000001" customHeight="1" x14ac:dyDescent="0.2">
      <c r="B108" s="42" t="str">
        <f ca="1">'Hidden-Forecast Calculations'!E101</f>
        <v/>
      </c>
      <c r="C108" s="36" t="str">
        <f ca="1">IF(B108="","",COUNTIF(EmployeeTable[Role],B108))</f>
        <v/>
      </c>
      <c r="D108" s="70" t="str">
        <f ca="1">IF(COUNTIF(EmployeeTable[Role],B108)=0,"",COUNTIFS(EmployeeTable[Role],B108,EmployeeTable[Over 55],1)/COUNTIF(EmployeeTable[Role],B108))</f>
        <v/>
      </c>
      <c r="E108" s="36" t="str">
        <f ca="1">IF(B108="","",'Hidden-Forecast Calculations'!G101)</f>
        <v/>
      </c>
      <c r="F108" s="37"/>
      <c r="G108" s="58" t="str">
        <f t="shared" ca="1" si="6"/>
        <v/>
      </c>
      <c r="H108" s="36" t="str">
        <f t="shared" ca="1" si="7"/>
        <v/>
      </c>
      <c r="I108" s="36" t="str">
        <f t="shared" ca="1" si="8"/>
        <v/>
      </c>
      <c r="J108" s="38" t="str">
        <f ca="1">IF(B108="","",'Hidden-Forecast Calculations'!L101)</f>
        <v/>
      </c>
      <c r="K108" s="54"/>
      <c r="L108" s="40"/>
      <c r="M108" s="40"/>
      <c r="N108" s="58" t="str">
        <f t="shared" ca="1" si="9"/>
        <v/>
      </c>
      <c r="O108" s="36" t="str">
        <f t="shared" ca="1" si="10"/>
        <v/>
      </c>
      <c r="P108" s="36" t="str">
        <f t="shared" ca="1" si="11"/>
        <v/>
      </c>
      <c r="Q108" s="54"/>
      <c r="R108" s="40"/>
      <c r="S108" s="97"/>
      <c r="T108" s="35" t="str">
        <f ca="1">'Hidden-Forecast Calculations'!R101</f>
        <v/>
      </c>
      <c r="U108" s="35" t="str">
        <f ca="1">'Hidden-Forecast Calculations'!S101</f>
        <v/>
      </c>
      <c r="V108" s="200" t="str">
        <f ca="1">'Hidden-Forecast Calculations'!T101</f>
        <v/>
      </c>
    </row>
    <row r="109" spans="2:22" ht="20.100000000000001" customHeight="1" x14ac:dyDescent="0.2">
      <c r="B109" s="42" t="str">
        <f ca="1">'Hidden-Forecast Calculations'!E102</f>
        <v/>
      </c>
      <c r="C109" s="36" t="str">
        <f ca="1">IF(B109="","",COUNTIF(EmployeeTable[Role],B109))</f>
        <v/>
      </c>
      <c r="D109" s="70" t="str">
        <f ca="1">IF(COUNTIF(EmployeeTable[Role],B109)=0,"",COUNTIFS(EmployeeTable[Role],B109,EmployeeTable[Over 55],1)/COUNTIF(EmployeeTable[Role],B109))</f>
        <v/>
      </c>
      <c r="E109" s="36" t="str">
        <f ca="1">IF(B109="","",'Hidden-Forecast Calculations'!G102)</f>
        <v/>
      </c>
      <c r="F109" s="37"/>
      <c r="G109" s="58" t="str">
        <f t="shared" ca="1" si="6"/>
        <v/>
      </c>
      <c r="H109" s="36" t="str">
        <f t="shared" ca="1" si="7"/>
        <v/>
      </c>
      <c r="I109" s="36" t="str">
        <f t="shared" ca="1" si="8"/>
        <v/>
      </c>
      <c r="J109" s="38" t="str">
        <f ca="1">IF(B109="","",'Hidden-Forecast Calculations'!L102)</f>
        <v/>
      </c>
      <c r="K109" s="54"/>
      <c r="L109" s="40"/>
      <c r="M109" s="40"/>
      <c r="N109" s="58" t="str">
        <f t="shared" ca="1" si="9"/>
        <v/>
      </c>
      <c r="O109" s="36" t="str">
        <f t="shared" ca="1" si="10"/>
        <v/>
      </c>
      <c r="P109" s="36" t="str">
        <f t="shared" ca="1" si="11"/>
        <v/>
      </c>
      <c r="Q109" s="54"/>
      <c r="R109" s="40"/>
      <c r="S109" s="97"/>
      <c r="T109" s="35" t="str">
        <f ca="1">'Hidden-Forecast Calculations'!R102</f>
        <v/>
      </c>
      <c r="U109" s="35" t="str">
        <f ca="1">'Hidden-Forecast Calculations'!S102</f>
        <v/>
      </c>
      <c r="V109" s="200" t="str">
        <f ca="1">'Hidden-Forecast Calculations'!T102</f>
        <v/>
      </c>
    </row>
    <row r="110" spans="2:22" ht="20.100000000000001" customHeight="1" thickBot="1" x14ac:dyDescent="0.25">
      <c r="B110" s="43" t="str">
        <f ca="1">'Hidden-Forecast Calculations'!E103</f>
        <v/>
      </c>
      <c r="C110" s="44" t="str">
        <f ca="1">IF(B110="","",COUNTIF(EmployeeTable[Role],B110))</f>
        <v/>
      </c>
      <c r="D110" s="201" t="str">
        <f ca="1">IF(COUNTIF(EmployeeTable[Role],B110)=0,"",COUNTIFS(EmployeeTable[Role],B110,EmployeeTable[Over 55],1)/COUNTIF(EmployeeTable[Role],B110))</f>
        <v/>
      </c>
      <c r="E110" s="44" t="str">
        <f ca="1">IF(B110="","",'Hidden-Forecast Calculations'!G103)</f>
        <v/>
      </c>
      <c r="F110" s="45"/>
      <c r="G110" s="59" t="str">
        <f t="shared" ca="1" si="6"/>
        <v/>
      </c>
      <c r="H110" s="44" t="str">
        <f t="shared" ca="1" si="7"/>
        <v/>
      </c>
      <c r="I110" s="44" t="str">
        <f t="shared" ca="1" si="8"/>
        <v/>
      </c>
      <c r="J110" s="46" t="str">
        <f ca="1">IF(B110="","",'Hidden-Forecast Calculations'!L103)</f>
        <v/>
      </c>
      <c r="K110" s="55"/>
      <c r="L110" s="47"/>
      <c r="M110" s="47"/>
      <c r="N110" s="59" t="str">
        <f t="shared" ca="1" si="9"/>
        <v/>
      </c>
      <c r="O110" s="44" t="str">
        <f t="shared" ca="1" si="10"/>
        <v/>
      </c>
      <c r="P110" s="44" t="str">
        <f t="shared" ca="1" si="11"/>
        <v/>
      </c>
      <c r="Q110" s="55"/>
      <c r="R110" s="47"/>
      <c r="S110" s="98"/>
      <c r="T110" s="202" t="str">
        <f ca="1">'Hidden-Forecast Calculations'!R103</f>
        <v/>
      </c>
      <c r="U110" s="202" t="str">
        <f ca="1">'Hidden-Forecast Calculations'!S103</f>
        <v/>
      </c>
      <c r="V110" s="203" t="str">
        <f ca="1">'Hidden-Forecast Calculations'!T103</f>
        <v/>
      </c>
    </row>
  </sheetData>
  <mergeCells count="8">
    <mergeCell ref="B3:V3"/>
    <mergeCell ref="B8:F8"/>
    <mergeCell ref="J5:L5"/>
    <mergeCell ref="K8:M8"/>
    <mergeCell ref="T8:V8"/>
    <mergeCell ref="N8:P8"/>
    <mergeCell ref="Q8:S8"/>
    <mergeCell ref="G8:J8"/>
  </mergeCells>
  <pageMargins left="0.75" right="0.75" top="1" bottom="1" header="0.5" footer="0.5"/>
  <pageSetup paperSize="5" scale="70" fitToHeight="0" orientation="landscape" verticalDpi="0" r:id="rId1"/>
  <headerFooter alignWithMargins="0"/>
  <drawing r:id="rId2"/>
  <extLst>
    <ext xmlns:x14="http://schemas.microsoft.com/office/spreadsheetml/2009/9/main" uri="{78C0D931-6437-407d-A8EE-F0AAD7539E65}">
      <x14:conditionalFormattings>
        <x14:conditionalFormatting xmlns:xm="http://schemas.microsoft.com/office/excel/2006/main">
          <x14:cfRule type="iconSet" priority="2" id="{C104BDC4-62BA-44A6-BCA4-2CAE2023E1E4}">
            <x14:iconSet iconSet="3Arrows" custom="1">
              <x14:cfvo type="percent">
                <xm:f>0</xm:f>
              </x14:cfvo>
              <x14:cfvo type="num">
                <xm:f>0</xm:f>
              </x14:cfvo>
              <x14:cfvo type="num">
                <xm:f>1</xm:f>
              </x14:cfvo>
              <x14:cfIcon iconSet="3Arrows" iconId="0"/>
              <x14:cfIcon iconSet="3Arrows" iconId="1"/>
              <x14:cfIcon iconSet="3Arrows" iconId="2"/>
            </x14:iconSet>
          </x14:cfRule>
          <xm:sqref>J10:J110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1:S110"/>
  <sheetViews>
    <sheetView showGridLines="0" zoomScaleNormal="100" workbookViewId="0"/>
  </sheetViews>
  <sheetFormatPr defaultColWidth="9" defaultRowHeight="12.75" x14ac:dyDescent="0.2"/>
  <cols>
    <col min="1" max="1" width="2.5" style="1" customWidth="1"/>
    <col min="2" max="2" width="21.75" style="1" customWidth="1"/>
    <col min="3" max="3" width="11.375" style="1" bestFit="1" customWidth="1"/>
    <col min="4" max="4" width="9.375" style="1" bestFit="1" customWidth="1"/>
    <col min="5" max="7" width="5.875" style="1" bestFit="1" customWidth="1"/>
    <col min="8" max="10" width="5.875" style="1" customWidth="1"/>
    <col min="11" max="13" width="5.875" style="1" bestFit="1" customWidth="1"/>
    <col min="14" max="16" width="12.625" style="1" customWidth="1"/>
    <col min="17" max="17" width="14.875" style="1" customWidth="1"/>
    <col min="18" max="18" width="32.5" style="1" customWidth="1"/>
    <col min="19" max="19" width="18.25" style="1" customWidth="1"/>
    <col min="20" max="16384" width="9" style="1"/>
  </cols>
  <sheetData>
    <row r="1" spans="2:19" ht="15" customHeight="1" x14ac:dyDescent="0.2"/>
    <row r="2" spans="2:19" ht="33.75" customHeight="1" x14ac:dyDescent="0.2">
      <c r="B2" s="238" t="s">
        <v>122</v>
      </c>
      <c r="C2" s="238"/>
      <c r="D2" s="238"/>
      <c r="E2" s="238"/>
      <c r="F2" s="238"/>
      <c r="G2" s="238"/>
      <c r="H2" s="238"/>
      <c r="I2" s="238"/>
      <c r="J2" s="238"/>
      <c r="K2" s="238"/>
      <c r="L2" s="238"/>
      <c r="M2" s="238"/>
      <c r="N2" s="238"/>
      <c r="O2" s="238"/>
      <c r="P2" s="238"/>
      <c r="Q2" s="238"/>
      <c r="R2" s="238"/>
      <c r="S2" s="238"/>
    </row>
    <row r="3" spans="2:19" ht="39" customHeight="1" x14ac:dyDescent="0.2">
      <c r="B3" s="237" t="s">
        <v>123</v>
      </c>
      <c r="C3" s="237"/>
      <c r="D3" s="237"/>
      <c r="E3" s="237"/>
      <c r="F3" s="237"/>
      <c r="G3" s="237"/>
      <c r="H3" s="237"/>
      <c r="I3" s="237"/>
      <c r="J3" s="237"/>
      <c r="K3" s="237"/>
      <c r="L3" s="237"/>
      <c r="M3" s="237"/>
      <c r="N3" s="237"/>
      <c r="O3" s="237"/>
      <c r="P3" s="237"/>
      <c r="Q3" s="237"/>
      <c r="R3" s="237"/>
      <c r="S3" s="237"/>
    </row>
    <row r="5" spans="2:19" ht="13.5" thickBot="1" x14ac:dyDescent="0.25"/>
    <row r="6" spans="2:19" ht="20.100000000000001" customHeight="1" x14ac:dyDescent="0.2">
      <c r="B6" s="233" t="s">
        <v>109</v>
      </c>
      <c r="C6" s="231"/>
      <c r="D6" s="234"/>
      <c r="E6" s="230" t="s">
        <v>124</v>
      </c>
      <c r="F6" s="231"/>
      <c r="G6" s="234"/>
      <c r="H6" s="230" t="s">
        <v>125</v>
      </c>
      <c r="I6" s="231"/>
      <c r="J6" s="234"/>
      <c r="K6" s="230" t="s">
        <v>126</v>
      </c>
      <c r="L6" s="231"/>
      <c r="M6" s="234"/>
      <c r="N6" s="230" t="s">
        <v>127</v>
      </c>
      <c r="O6" s="231"/>
      <c r="P6" s="234"/>
      <c r="Q6" s="230" t="s">
        <v>128</v>
      </c>
      <c r="R6" s="231"/>
      <c r="S6" s="249"/>
    </row>
    <row r="7" spans="2:19" ht="30.75" customHeight="1" x14ac:dyDescent="0.2">
      <c r="B7" s="106" t="s">
        <v>29</v>
      </c>
      <c r="C7" s="107" t="s">
        <v>90</v>
      </c>
      <c r="D7" s="108" t="s">
        <v>115</v>
      </c>
      <c r="E7" s="109" t="s">
        <v>129</v>
      </c>
      <c r="F7" s="110" t="s">
        <v>130</v>
      </c>
      <c r="G7" s="111" t="s">
        <v>131</v>
      </c>
      <c r="H7" s="109" t="s">
        <v>129</v>
      </c>
      <c r="I7" s="110" t="s">
        <v>130</v>
      </c>
      <c r="J7" s="111" t="s">
        <v>131</v>
      </c>
      <c r="K7" s="109" t="s">
        <v>129</v>
      </c>
      <c r="L7" s="110" t="s">
        <v>130</v>
      </c>
      <c r="M7" s="111" t="s">
        <v>131</v>
      </c>
      <c r="N7" s="109" t="s">
        <v>119</v>
      </c>
      <c r="O7" s="110" t="s">
        <v>120</v>
      </c>
      <c r="P7" s="111" t="s">
        <v>121</v>
      </c>
      <c r="Q7" s="112" t="s">
        <v>132</v>
      </c>
      <c r="R7" s="107" t="s">
        <v>133</v>
      </c>
      <c r="S7" s="113" t="s">
        <v>134</v>
      </c>
    </row>
    <row r="8" spans="2:19" ht="20.100000000000001" customHeight="1" x14ac:dyDescent="0.2">
      <c r="B8" s="114" t="str">
        <f ca="1">'Hidden-Forecast Calculations'!E3</f>
        <v>Researcher</v>
      </c>
      <c r="C8" s="115" t="str">
        <f ca="1">'Hidden-Forecast Calculations'!J3</f>
        <v>Supporting</v>
      </c>
      <c r="D8" s="116">
        <f ca="1">IF('7. Demand &amp; Supply Forecast'!B10="","",'7. Demand &amp; Supply Forecast'!C10)</f>
        <v>6</v>
      </c>
      <c r="E8" s="117">
        <f ca="1">IF('7. Demand &amp; Supply Forecast'!B10="","",'7. Demand &amp; Supply Forecast'!G10)</f>
        <v>7</v>
      </c>
      <c r="F8" s="116">
        <f ca="1">IF('7. Demand &amp; Supply Forecast'!B10="","",'7. Demand &amp; Supply Forecast'!H10)</f>
        <v>8.5</v>
      </c>
      <c r="G8" s="118">
        <f ca="1">IF('7. Demand &amp; Supply Forecast'!B10="","",'7. Demand &amp; Supply Forecast'!I10)</f>
        <v>10</v>
      </c>
      <c r="H8" s="159">
        <f ca="1">IF('7. Demand &amp; Supply Forecast'!B10="","",'7. Demand &amp; Supply Forecast'!Q10)</f>
        <v>8</v>
      </c>
      <c r="I8" s="160">
        <f ca="1">IF('7. Demand &amp; Supply Forecast'!B10="","",'7. Demand &amp; Supply Forecast'!R10)</f>
        <v>7.5</v>
      </c>
      <c r="J8" s="161">
        <f ca="1">IF('7. Demand &amp; Supply Forecast'!B10="","",'7. Demand &amp; Supply Forecast'!S10)</f>
        <v>7</v>
      </c>
      <c r="K8" s="116">
        <f ca="1">IF('Hidden-Forecast Calculations'!E3="","",'Hidden-Forecast Calculations'!U3)</f>
        <v>-2</v>
      </c>
      <c r="L8" s="116">
        <f ca="1">IF('Hidden-Forecast Calculations'!E3="","",'Hidden-Forecast Calculations'!V3)</f>
        <v>-4.5</v>
      </c>
      <c r="M8" s="116">
        <f ca="1">IF('Hidden-Forecast Calculations'!E3="","",'Hidden-Forecast Calculations'!W3)</f>
        <v>-5</v>
      </c>
      <c r="N8" s="119">
        <f ca="1">'Hidden-Forecast Calculations'!R3</f>
        <v>816000</v>
      </c>
      <c r="O8" s="120">
        <f ca="1">'Hidden-Forecast Calculations'!S3</f>
        <v>999000</v>
      </c>
      <c r="P8" s="121">
        <f ca="1">'Hidden-Forecast Calculations'!T3</f>
        <v>1019000</v>
      </c>
      <c r="Q8" s="115" t="str">
        <f ca="1">'Hidden-Forecast Calculations'!H3</f>
        <v>No</v>
      </c>
      <c r="R8" s="115" t="str">
        <f ca="1">IF('Hidden-Forecast Calculations'!I3=0,"",'Hidden-Forecast Calculations'!I3)</f>
        <v/>
      </c>
      <c r="S8" s="122" t="str">
        <f ca="1">'Hidden-Forecast Calculations'!M3</f>
        <v>More plentiful</v>
      </c>
    </row>
    <row r="9" spans="2:19" ht="20.100000000000001" customHeight="1" x14ac:dyDescent="0.2">
      <c r="B9" s="123" t="str">
        <f ca="1">'Hidden-Forecast Calculations'!E4</f>
        <v>Sales Acquire</v>
      </c>
      <c r="C9" s="124" t="str">
        <f ca="1">'Hidden-Forecast Calculations'!J4</f>
        <v>Core</v>
      </c>
      <c r="D9" s="125">
        <f ca="1">IF('7. Demand &amp; Supply Forecast'!B11="","",'7. Demand &amp; Supply Forecast'!C11)</f>
        <v>0</v>
      </c>
      <c r="E9" s="126">
        <f ca="1">IF('7. Demand &amp; Supply Forecast'!B11="","",'7. Demand &amp; Supply Forecast'!G11)</f>
        <v>0</v>
      </c>
      <c r="F9" s="125">
        <f ca="1">IF('7. Demand &amp; Supply Forecast'!B11="","",'7. Demand &amp; Supply Forecast'!H11)</f>
        <v>0</v>
      </c>
      <c r="G9" s="127">
        <f ca="1">IF('7. Demand &amp; Supply Forecast'!B11="","",'7. Demand &amp; Supply Forecast'!I11)</f>
        <v>0</v>
      </c>
      <c r="H9" s="117">
        <f ca="1">IF('7. Demand &amp; Supply Forecast'!B11="","",'7. Demand &amp; Supply Forecast'!Q11)</f>
        <v>9.5</v>
      </c>
      <c r="I9" s="116">
        <f ca="1">IF('7. Demand &amp; Supply Forecast'!B11="","",'7. Demand &amp; Supply Forecast'!R11)</f>
        <v>7.5</v>
      </c>
      <c r="J9" s="118">
        <f ca="1">IF('7. Demand &amp; Supply Forecast'!B11="","",'7. Demand &amp; Supply Forecast'!S11)</f>
        <v>6</v>
      </c>
      <c r="K9" s="125">
        <f ca="1">IF('Hidden-Forecast Calculations'!E4="","",'Hidden-Forecast Calculations'!U4)</f>
        <v>-1.5</v>
      </c>
      <c r="L9" s="125">
        <f ca="1">IF('Hidden-Forecast Calculations'!E4="","",'Hidden-Forecast Calculations'!V4)</f>
        <v>-1.5</v>
      </c>
      <c r="M9" s="125">
        <f ca="1">IF('Hidden-Forecast Calculations'!E4="","",'Hidden-Forecast Calculations'!W4)</f>
        <v>-2</v>
      </c>
      <c r="N9" s="128">
        <f ca="1">'Hidden-Forecast Calculations'!R4</f>
        <v>449000</v>
      </c>
      <c r="O9" s="129">
        <f ca="1">'Hidden-Forecast Calculations'!S4</f>
        <v>375000</v>
      </c>
      <c r="P9" s="130">
        <f ca="1">'Hidden-Forecast Calculations'!T4</f>
        <v>340000</v>
      </c>
      <c r="Q9" s="124" t="str">
        <f ca="1">'Hidden-Forecast Calculations'!H4</f>
        <v>Yes</v>
      </c>
      <c r="R9" s="124" t="str">
        <f ca="1">IF('Hidden-Forecast Calculations'!I4=0,"",'Hidden-Forecast Calculations'!I4)</f>
        <v>Social media monitoring</v>
      </c>
      <c r="S9" s="131" t="str">
        <f ca="1">'Hidden-Forecast Calculations'!M4</f>
        <v>No change</v>
      </c>
    </row>
    <row r="10" spans="2:19" ht="20.100000000000001" customHeight="1" x14ac:dyDescent="0.2">
      <c r="B10" s="123" t="str">
        <f ca="1">'Hidden-Forecast Calculations'!E5</f>
        <v>Account Manager</v>
      </c>
      <c r="C10" s="124" t="str">
        <f ca="1">'Hidden-Forecast Calculations'!J5</f>
        <v>Critical</v>
      </c>
      <c r="D10" s="125">
        <f ca="1">IF('7. Demand &amp; Supply Forecast'!B12="","",'7. Demand &amp; Supply Forecast'!C12)</f>
        <v>27</v>
      </c>
      <c r="E10" s="126">
        <f ca="1">IF('7. Demand &amp; Supply Forecast'!B12="","",'7. Demand &amp; Supply Forecast'!G12)</f>
        <v>32.5</v>
      </c>
      <c r="F10" s="125">
        <f ca="1">IF('7. Demand &amp; Supply Forecast'!B12="","",'7. Demand &amp; Supply Forecast'!H12)</f>
        <v>39</v>
      </c>
      <c r="G10" s="127">
        <f ca="1">IF('7. Demand &amp; Supply Forecast'!B12="","",'7. Demand &amp; Supply Forecast'!I12)</f>
        <v>47</v>
      </c>
      <c r="H10" s="117">
        <f ca="1">IF('7. Demand &amp; Supply Forecast'!B12="","",'7. Demand &amp; Supply Forecast'!Q12)</f>
        <v>11</v>
      </c>
      <c r="I10" s="116">
        <f ca="1">IF('7. Demand &amp; Supply Forecast'!B12="","",'7. Demand &amp; Supply Forecast'!R12)</f>
        <v>9</v>
      </c>
      <c r="J10" s="118">
        <f ca="1">IF('7. Demand &amp; Supply Forecast'!B12="","",'7. Demand &amp; Supply Forecast'!S12)</f>
        <v>7</v>
      </c>
      <c r="K10" s="125">
        <f ca="1">IF('Hidden-Forecast Calculations'!E5="","",'Hidden-Forecast Calculations'!U5)</f>
        <v>-4</v>
      </c>
      <c r="L10" s="125">
        <f ca="1">IF('Hidden-Forecast Calculations'!E5="","",'Hidden-Forecast Calculations'!V5)</f>
        <v>-7</v>
      </c>
      <c r="M10" s="125">
        <f ca="1">IF('Hidden-Forecast Calculations'!E5="","",'Hidden-Forecast Calculations'!W5)</f>
        <v>-11</v>
      </c>
      <c r="N10" s="128">
        <f ca="1">'Hidden-Forecast Calculations'!R5</f>
        <v>918000</v>
      </c>
      <c r="O10" s="129">
        <f ca="1">'Hidden-Forecast Calculations'!S5</f>
        <v>999000</v>
      </c>
      <c r="P10" s="130">
        <f ca="1">'Hidden-Forecast Calculations'!T5</f>
        <v>1146000</v>
      </c>
      <c r="Q10" s="124" t="str">
        <f ca="1">'Hidden-Forecast Calculations'!H5</f>
        <v>Yes</v>
      </c>
      <c r="R10" s="124" t="str">
        <f ca="1">IF('Hidden-Forecast Calculations'!I5=0,"",'Hidden-Forecast Calculations'!I5)</f>
        <v>Salesforce</v>
      </c>
      <c r="S10" s="131" t="str">
        <f ca="1">'Hidden-Forecast Calculations'!M5</f>
        <v>More scarce</v>
      </c>
    </row>
    <row r="11" spans="2:19" ht="20.100000000000001" customHeight="1" x14ac:dyDescent="0.2">
      <c r="B11" s="123" t="str">
        <f ca="1">'Hidden-Forecast Calculations'!E6</f>
        <v>Marketers</v>
      </c>
      <c r="C11" s="124" t="str">
        <f ca="1">'Hidden-Forecast Calculations'!J6</f>
        <v>Core</v>
      </c>
      <c r="D11" s="125">
        <f ca="1">IF('7. Demand &amp; Supply Forecast'!B13="","",'7. Demand &amp; Supply Forecast'!C13)</f>
        <v>14</v>
      </c>
      <c r="E11" s="126">
        <f ca="1">IF('7. Demand &amp; Supply Forecast'!B13="","",'7. Demand &amp; Supply Forecast'!G13)</f>
        <v>17</v>
      </c>
      <c r="F11" s="125">
        <f ca="1">IF('7. Demand &amp; Supply Forecast'!B13="","",'7. Demand &amp; Supply Forecast'!H13)</f>
        <v>20.5</v>
      </c>
      <c r="G11" s="127">
        <f ca="1">IF('7. Demand &amp; Supply Forecast'!B13="","",'7. Demand &amp; Supply Forecast'!I13)</f>
        <v>24.5</v>
      </c>
      <c r="H11" s="117">
        <f ca="1">IF('7. Demand &amp; Supply Forecast'!B13="","",'7. Demand &amp; Supply Forecast'!Q13)</f>
        <v>15</v>
      </c>
      <c r="I11" s="116">
        <f ca="1">IF('7. Demand &amp; Supply Forecast'!B13="","",'7. Demand &amp; Supply Forecast'!R13)</f>
        <v>15</v>
      </c>
      <c r="J11" s="118">
        <f ca="1">IF('7. Demand &amp; Supply Forecast'!B13="","",'7. Demand &amp; Supply Forecast'!S13)</f>
        <v>14</v>
      </c>
      <c r="K11" s="125">
        <f ca="1">IF('Hidden-Forecast Calculations'!E6="","",'Hidden-Forecast Calculations'!U6)</f>
        <v>5</v>
      </c>
      <c r="L11" s="125">
        <f ca="1">IF('Hidden-Forecast Calculations'!E6="","",'Hidden-Forecast Calculations'!V6)</f>
        <v>5</v>
      </c>
      <c r="M11" s="125">
        <f ca="1">IF('Hidden-Forecast Calculations'!E6="","",'Hidden-Forecast Calculations'!W6)</f>
        <v>5</v>
      </c>
      <c r="N11" s="128">
        <f ca="1">'Hidden-Forecast Calculations'!R6</f>
        <v>816000</v>
      </c>
      <c r="O11" s="129">
        <f ca="1">'Hidden-Forecast Calculations'!S6</f>
        <v>832000</v>
      </c>
      <c r="P11" s="130">
        <f ca="1">'Hidden-Forecast Calculations'!T6</f>
        <v>764000</v>
      </c>
      <c r="Q11" s="124" t="str">
        <f ca="1">'Hidden-Forecast Calculations'!H6</f>
        <v>No</v>
      </c>
      <c r="R11" s="124" t="str">
        <f ca="1">IF('Hidden-Forecast Calculations'!I6=0,"",'Hidden-Forecast Calculations'!I6)</f>
        <v/>
      </c>
      <c r="S11" s="131" t="str">
        <f ca="1">'Hidden-Forecast Calculations'!M6</f>
        <v>No change</v>
      </c>
    </row>
    <row r="12" spans="2:19" ht="20.100000000000001" customHeight="1" x14ac:dyDescent="0.2">
      <c r="B12" s="123" t="str">
        <f ca="1">'Hidden-Forecast Calculations'!E7</f>
        <v>Maintenance</v>
      </c>
      <c r="C12" s="124" t="str">
        <f ca="1">'Hidden-Forecast Calculations'!J7</f>
        <v>Critical</v>
      </c>
      <c r="D12" s="125">
        <f ca="1">IF('7. Demand &amp; Supply Forecast'!B14="","",'7. Demand &amp; Supply Forecast'!C14)</f>
        <v>1</v>
      </c>
      <c r="E12" s="126">
        <f ca="1">IF('7. Demand &amp; Supply Forecast'!B14="","",'7. Demand &amp; Supply Forecast'!G14)</f>
        <v>1</v>
      </c>
      <c r="F12" s="125">
        <f ca="1">IF('7. Demand &amp; Supply Forecast'!B14="","",'7. Demand &amp; Supply Forecast'!H14)</f>
        <v>1</v>
      </c>
      <c r="G12" s="127">
        <f ca="1">IF('7. Demand &amp; Supply Forecast'!B14="","",'7. Demand &amp; Supply Forecast'!I14)</f>
        <v>1</v>
      </c>
      <c r="H12" s="117">
        <f ca="1">IF('7. Demand &amp; Supply Forecast'!B14="","",'7. Demand &amp; Supply Forecast'!Q14)</f>
        <v>0</v>
      </c>
      <c r="I12" s="116">
        <f ca="1">IF('7. Demand &amp; Supply Forecast'!B14="","",'7. Demand &amp; Supply Forecast'!R14)</f>
        <v>0</v>
      </c>
      <c r="J12" s="118">
        <f ca="1">IF('7. Demand &amp; Supply Forecast'!B14="","",'7. Demand &amp; Supply Forecast'!S14)</f>
        <v>0</v>
      </c>
      <c r="K12" s="125">
        <f ca="1">IF('Hidden-Forecast Calculations'!E7="","",'Hidden-Forecast Calculations'!U7)</f>
        <v>-2</v>
      </c>
      <c r="L12" s="125">
        <f ca="1">IF('Hidden-Forecast Calculations'!E7="","",'Hidden-Forecast Calculations'!V7)</f>
        <v>-5</v>
      </c>
      <c r="M12" s="125">
        <f ca="1">IF('Hidden-Forecast Calculations'!E7="","",'Hidden-Forecast Calculations'!W7)</f>
        <v>-10</v>
      </c>
      <c r="N12" s="128">
        <f ca="1">'Hidden-Forecast Calculations'!R7</f>
        <v>306000</v>
      </c>
      <c r="O12" s="129">
        <f ca="1">'Hidden-Forecast Calculations'!S7</f>
        <v>780000</v>
      </c>
      <c r="P12" s="130">
        <f ca="1">'Hidden-Forecast Calculations'!T7</f>
        <v>1592000</v>
      </c>
      <c r="Q12" s="124" t="str">
        <f ca="1">'Hidden-Forecast Calculations'!H7</f>
        <v>No</v>
      </c>
      <c r="R12" s="124" t="str">
        <f ca="1">IF('Hidden-Forecast Calculations'!I7=0,"",'Hidden-Forecast Calculations'!I7)</f>
        <v/>
      </c>
      <c r="S12" s="131" t="str">
        <f ca="1">'Hidden-Forecast Calculations'!M7</f>
        <v>More scarce</v>
      </c>
    </row>
    <row r="13" spans="2:19" ht="20.100000000000001" customHeight="1" x14ac:dyDescent="0.2">
      <c r="B13" s="123" t="str">
        <f ca="1">'Hidden-Forecast Calculations'!E8</f>
        <v/>
      </c>
      <c r="C13" s="124" t="str">
        <f ca="1">'Hidden-Forecast Calculations'!J8</f>
        <v/>
      </c>
      <c r="D13" s="125" t="str">
        <f ca="1">IF('7. Demand &amp; Supply Forecast'!B15="","",'7. Demand &amp; Supply Forecast'!C15)</f>
        <v/>
      </c>
      <c r="E13" s="126" t="str">
        <f ca="1">IF('7. Demand &amp; Supply Forecast'!B15="","",'7. Demand &amp; Supply Forecast'!G15)</f>
        <v/>
      </c>
      <c r="F13" s="125" t="str">
        <f ca="1">IF('7. Demand &amp; Supply Forecast'!B15="","",'7. Demand &amp; Supply Forecast'!H15)</f>
        <v/>
      </c>
      <c r="G13" s="127" t="str">
        <f ca="1">IF('7. Demand &amp; Supply Forecast'!B15="","",'7. Demand &amp; Supply Forecast'!I15)</f>
        <v/>
      </c>
      <c r="H13" s="117" t="str">
        <f ca="1">IF('7. Demand &amp; Supply Forecast'!B15="","",'7. Demand &amp; Supply Forecast'!Q15)</f>
        <v/>
      </c>
      <c r="I13" s="116" t="str">
        <f ca="1">IF('7. Demand &amp; Supply Forecast'!B15="","",'7. Demand &amp; Supply Forecast'!R15)</f>
        <v/>
      </c>
      <c r="J13" s="118" t="str">
        <f ca="1">IF('7. Demand &amp; Supply Forecast'!B15="","",'7. Demand &amp; Supply Forecast'!S15)</f>
        <v/>
      </c>
      <c r="K13" s="125" t="str">
        <f ca="1">IF('Hidden-Forecast Calculations'!E8="","",'Hidden-Forecast Calculations'!U8)</f>
        <v/>
      </c>
      <c r="L13" s="125" t="str">
        <f ca="1">IF('Hidden-Forecast Calculations'!E8="","",'Hidden-Forecast Calculations'!V8)</f>
        <v/>
      </c>
      <c r="M13" s="125" t="str">
        <f ca="1">IF('Hidden-Forecast Calculations'!E8="","",'Hidden-Forecast Calculations'!W8)</f>
        <v/>
      </c>
      <c r="N13" s="128" t="str">
        <f ca="1">'Hidden-Forecast Calculations'!R8</f>
        <v/>
      </c>
      <c r="O13" s="129" t="str">
        <f ca="1">'Hidden-Forecast Calculations'!S8</f>
        <v/>
      </c>
      <c r="P13" s="130" t="str">
        <f ca="1">'Hidden-Forecast Calculations'!T8</f>
        <v/>
      </c>
      <c r="Q13" s="124" t="str">
        <f ca="1">'Hidden-Forecast Calculations'!H8</f>
        <v/>
      </c>
      <c r="R13" s="124" t="str">
        <f ca="1">IF('Hidden-Forecast Calculations'!I8=0,"",'Hidden-Forecast Calculations'!I8)</f>
        <v/>
      </c>
      <c r="S13" s="131" t="str">
        <f ca="1">'Hidden-Forecast Calculations'!M8</f>
        <v/>
      </c>
    </row>
    <row r="14" spans="2:19" ht="20.100000000000001" customHeight="1" x14ac:dyDescent="0.2">
      <c r="B14" s="123" t="str">
        <f ca="1">'Hidden-Forecast Calculations'!E9</f>
        <v/>
      </c>
      <c r="C14" s="124" t="str">
        <f ca="1">'Hidden-Forecast Calculations'!J9</f>
        <v/>
      </c>
      <c r="D14" s="125" t="str">
        <f ca="1">IF('7. Demand &amp; Supply Forecast'!B16="","",'7. Demand &amp; Supply Forecast'!C16)</f>
        <v/>
      </c>
      <c r="E14" s="126" t="str">
        <f ca="1">IF('7. Demand &amp; Supply Forecast'!B16="","",'7. Demand &amp; Supply Forecast'!G16)</f>
        <v/>
      </c>
      <c r="F14" s="125" t="str">
        <f ca="1">IF('7. Demand &amp; Supply Forecast'!B16="","",'7. Demand &amp; Supply Forecast'!H16)</f>
        <v/>
      </c>
      <c r="G14" s="127" t="str">
        <f ca="1">IF('7. Demand &amp; Supply Forecast'!B16="","",'7. Demand &amp; Supply Forecast'!I16)</f>
        <v/>
      </c>
      <c r="H14" s="117" t="str">
        <f ca="1">IF('7. Demand &amp; Supply Forecast'!B16="","",'7. Demand &amp; Supply Forecast'!Q16)</f>
        <v/>
      </c>
      <c r="I14" s="116" t="str">
        <f ca="1">IF('7. Demand &amp; Supply Forecast'!B16="","",'7. Demand &amp; Supply Forecast'!R16)</f>
        <v/>
      </c>
      <c r="J14" s="118" t="str">
        <f ca="1">IF('7. Demand &amp; Supply Forecast'!B16="","",'7. Demand &amp; Supply Forecast'!S16)</f>
        <v/>
      </c>
      <c r="K14" s="125" t="str">
        <f ca="1">IF('Hidden-Forecast Calculations'!E9="","",'Hidden-Forecast Calculations'!U9)</f>
        <v/>
      </c>
      <c r="L14" s="125" t="str">
        <f ca="1">IF('Hidden-Forecast Calculations'!E9="","",'Hidden-Forecast Calculations'!V9)</f>
        <v/>
      </c>
      <c r="M14" s="125" t="str">
        <f ca="1">IF('Hidden-Forecast Calculations'!E9="","",'Hidden-Forecast Calculations'!W9)</f>
        <v/>
      </c>
      <c r="N14" s="128" t="str">
        <f ca="1">'Hidden-Forecast Calculations'!R9</f>
        <v/>
      </c>
      <c r="O14" s="129" t="str">
        <f ca="1">'Hidden-Forecast Calculations'!S9</f>
        <v/>
      </c>
      <c r="P14" s="130" t="str">
        <f ca="1">'Hidden-Forecast Calculations'!T9</f>
        <v/>
      </c>
      <c r="Q14" s="124" t="str">
        <f ca="1">'Hidden-Forecast Calculations'!H9</f>
        <v/>
      </c>
      <c r="R14" s="124" t="str">
        <f ca="1">IF('Hidden-Forecast Calculations'!I9=0,"",'Hidden-Forecast Calculations'!I9)</f>
        <v/>
      </c>
      <c r="S14" s="131" t="str">
        <f ca="1">'Hidden-Forecast Calculations'!M9</f>
        <v/>
      </c>
    </row>
    <row r="15" spans="2:19" ht="20.100000000000001" customHeight="1" x14ac:dyDescent="0.2">
      <c r="B15" s="123" t="str">
        <f ca="1">'Hidden-Forecast Calculations'!E10</f>
        <v/>
      </c>
      <c r="C15" s="124" t="str">
        <f ca="1">'Hidden-Forecast Calculations'!J10</f>
        <v/>
      </c>
      <c r="D15" s="125" t="str">
        <f ca="1">IF('7. Demand &amp; Supply Forecast'!B17="","",'7. Demand &amp; Supply Forecast'!C17)</f>
        <v/>
      </c>
      <c r="E15" s="126" t="str">
        <f ca="1">IF('7. Demand &amp; Supply Forecast'!B17="","",'7. Demand &amp; Supply Forecast'!G17)</f>
        <v/>
      </c>
      <c r="F15" s="125" t="str">
        <f ca="1">IF('7. Demand &amp; Supply Forecast'!B17="","",'7. Demand &amp; Supply Forecast'!H17)</f>
        <v/>
      </c>
      <c r="G15" s="127" t="str">
        <f ca="1">IF('7. Demand &amp; Supply Forecast'!B17="","",'7. Demand &amp; Supply Forecast'!I17)</f>
        <v/>
      </c>
      <c r="H15" s="117" t="str">
        <f ca="1">IF('7. Demand &amp; Supply Forecast'!B17="","",'7. Demand &amp; Supply Forecast'!Q17)</f>
        <v/>
      </c>
      <c r="I15" s="116" t="str">
        <f ca="1">IF('7. Demand &amp; Supply Forecast'!B17="","",'7. Demand &amp; Supply Forecast'!R17)</f>
        <v/>
      </c>
      <c r="J15" s="118" t="str">
        <f ca="1">IF('7. Demand &amp; Supply Forecast'!B17="","",'7. Demand &amp; Supply Forecast'!S17)</f>
        <v/>
      </c>
      <c r="K15" s="125" t="str">
        <f ca="1">IF('Hidden-Forecast Calculations'!E10="","",'Hidden-Forecast Calculations'!U10)</f>
        <v/>
      </c>
      <c r="L15" s="125" t="str">
        <f ca="1">IF('Hidden-Forecast Calculations'!E10="","",'Hidden-Forecast Calculations'!V10)</f>
        <v/>
      </c>
      <c r="M15" s="125" t="str">
        <f ca="1">IF('Hidden-Forecast Calculations'!E10="","",'Hidden-Forecast Calculations'!W10)</f>
        <v/>
      </c>
      <c r="N15" s="128" t="str">
        <f ca="1">'Hidden-Forecast Calculations'!R10</f>
        <v/>
      </c>
      <c r="O15" s="129" t="str">
        <f ca="1">'Hidden-Forecast Calculations'!S10</f>
        <v/>
      </c>
      <c r="P15" s="130" t="str">
        <f ca="1">'Hidden-Forecast Calculations'!T10</f>
        <v/>
      </c>
      <c r="Q15" s="124" t="str">
        <f ca="1">'Hidden-Forecast Calculations'!H10</f>
        <v/>
      </c>
      <c r="R15" s="124" t="str">
        <f ca="1">IF('Hidden-Forecast Calculations'!I10=0,"",'Hidden-Forecast Calculations'!I10)</f>
        <v/>
      </c>
      <c r="S15" s="131" t="str">
        <f ca="1">'Hidden-Forecast Calculations'!M10</f>
        <v/>
      </c>
    </row>
    <row r="16" spans="2:19" ht="20.100000000000001" customHeight="1" x14ac:dyDescent="0.2">
      <c r="B16" s="123" t="str">
        <f ca="1">'Hidden-Forecast Calculations'!E11</f>
        <v/>
      </c>
      <c r="C16" s="124" t="str">
        <f ca="1">'Hidden-Forecast Calculations'!J11</f>
        <v/>
      </c>
      <c r="D16" s="125" t="str">
        <f ca="1">IF('7. Demand &amp; Supply Forecast'!B18="","",'7. Demand &amp; Supply Forecast'!C18)</f>
        <v/>
      </c>
      <c r="E16" s="126" t="str">
        <f ca="1">IF('7. Demand &amp; Supply Forecast'!B18="","",'7. Demand &amp; Supply Forecast'!G18)</f>
        <v/>
      </c>
      <c r="F16" s="125" t="str">
        <f ca="1">IF('7. Demand &amp; Supply Forecast'!B18="","",'7. Demand &amp; Supply Forecast'!H18)</f>
        <v/>
      </c>
      <c r="G16" s="127" t="str">
        <f ca="1">IF('7. Demand &amp; Supply Forecast'!B18="","",'7. Demand &amp; Supply Forecast'!I18)</f>
        <v/>
      </c>
      <c r="H16" s="117" t="str">
        <f ca="1">IF('7. Demand &amp; Supply Forecast'!B18="","",'7. Demand &amp; Supply Forecast'!Q18)</f>
        <v/>
      </c>
      <c r="I16" s="116" t="str">
        <f ca="1">IF('7. Demand &amp; Supply Forecast'!B18="","",'7. Demand &amp; Supply Forecast'!R18)</f>
        <v/>
      </c>
      <c r="J16" s="118" t="str">
        <f ca="1">IF('7. Demand &amp; Supply Forecast'!B18="","",'7. Demand &amp; Supply Forecast'!S18)</f>
        <v/>
      </c>
      <c r="K16" s="125" t="str">
        <f ca="1">IF('Hidden-Forecast Calculations'!E11="","",'Hidden-Forecast Calculations'!U11)</f>
        <v/>
      </c>
      <c r="L16" s="125" t="str">
        <f ca="1">IF('Hidden-Forecast Calculations'!E11="","",'Hidden-Forecast Calculations'!V11)</f>
        <v/>
      </c>
      <c r="M16" s="125" t="str">
        <f ca="1">IF('Hidden-Forecast Calculations'!E11="","",'Hidden-Forecast Calculations'!W11)</f>
        <v/>
      </c>
      <c r="N16" s="128" t="str">
        <f ca="1">'Hidden-Forecast Calculations'!R11</f>
        <v/>
      </c>
      <c r="O16" s="129" t="str">
        <f ca="1">'Hidden-Forecast Calculations'!S11</f>
        <v/>
      </c>
      <c r="P16" s="130" t="str">
        <f ca="1">'Hidden-Forecast Calculations'!T11</f>
        <v/>
      </c>
      <c r="Q16" s="124" t="str">
        <f ca="1">'Hidden-Forecast Calculations'!H11</f>
        <v/>
      </c>
      <c r="R16" s="124" t="str">
        <f ca="1">IF('Hidden-Forecast Calculations'!I11=0,"",'Hidden-Forecast Calculations'!I11)</f>
        <v/>
      </c>
      <c r="S16" s="131" t="str">
        <f ca="1">'Hidden-Forecast Calculations'!M11</f>
        <v/>
      </c>
    </row>
    <row r="17" spans="2:19" ht="20.100000000000001" customHeight="1" x14ac:dyDescent="0.2">
      <c r="B17" s="123" t="str">
        <f ca="1">'Hidden-Forecast Calculations'!E12</f>
        <v/>
      </c>
      <c r="C17" s="124" t="str">
        <f ca="1">'Hidden-Forecast Calculations'!J12</f>
        <v/>
      </c>
      <c r="D17" s="125" t="str">
        <f ca="1">IF('7. Demand &amp; Supply Forecast'!B19="","",'7. Demand &amp; Supply Forecast'!C19)</f>
        <v/>
      </c>
      <c r="E17" s="126" t="str">
        <f ca="1">IF('7. Demand &amp; Supply Forecast'!B19="","",'7. Demand &amp; Supply Forecast'!G19)</f>
        <v/>
      </c>
      <c r="F17" s="125" t="str">
        <f ca="1">IF('7. Demand &amp; Supply Forecast'!B19="","",'7. Demand &amp; Supply Forecast'!H19)</f>
        <v/>
      </c>
      <c r="G17" s="127" t="str">
        <f ca="1">IF('7. Demand &amp; Supply Forecast'!B19="","",'7. Demand &amp; Supply Forecast'!I19)</f>
        <v/>
      </c>
      <c r="H17" s="117" t="str">
        <f ca="1">IF('7. Demand &amp; Supply Forecast'!B19="","",'7. Demand &amp; Supply Forecast'!Q19)</f>
        <v/>
      </c>
      <c r="I17" s="116" t="str">
        <f ca="1">IF('7. Demand &amp; Supply Forecast'!B19="","",'7. Demand &amp; Supply Forecast'!R19)</f>
        <v/>
      </c>
      <c r="J17" s="118" t="str">
        <f ca="1">IF('7. Demand &amp; Supply Forecast'!B19="","",'7. Demand &amp; Supply Forecast'!S19)</f>
        <v/>
      </c>
      <c r="K17" s="125" t="str">
        <f ca="1">IF('Hidden-Forecast Calculations'!E12="","",'Hidden-Forecast Calculations'!U12)</f>
        <v/>
      </c>
      <c r="L17" s="125" t="str">
        <f ca="1">IF('Hidden-Forecast Calculations'!E12="","",'Hidden-Forecast Calculations'!V12)</f>
        <v/>
      </c>
      <c r="M17" s="125" t="str">
        <f ca="1">IF('Hidden-Forecast Calculations'!E12="","",'Hidden-Forecast Calculations'!W12)</f>
        <v/>
      </c>
      <c r="N17" s="128" t="str">
        <f ca="1">'Hidden-Forecast Calculations'!R12</f>
        <v/>
      </c>
      <c r="O17" s="129" t="str">
        <f ca="1">'Hidden-Forecast Calculations'!S12</f>
        <v/>
      </c>
      <c r="P17" s="130" t="str">
        <f ca="1">'Hidden-Forecast Calculations'!T12</f>
        <v/>
      </c>
      <c r="Q17" s="124" t="str">
        <f ca="1">'Hidden-Forecast Calculations'!H12</f>
        <v/>
      </c>
      <c r="R17" s="124" t="str">
        <f ca="1">IF('Hidden-Forecast Calculations'!I12=0,"",'Hidden-Forecast Calculations'!I12)</f>
        <v/>
      </c>
      <c r="S17" s="131" t="str">
        <f ca="1">'Hidden-Forecast Calculations'!M12</f>
        <v/>
      </c>
    </row>
    <row r="18" spans="2:19" ht="20.100000000000001" customHeight="1" x14ac:dyDescent="0.2">
      <c r="B18" s="123" t="str">
        <f ca="1">'Hidden-Forecast Calculations'!E13</f>
        <v/>
      </c>
      <c r="C18" s="124" t="str">
        <f ca="1">'Hidden-Forecast Calculations'!J13</f>
        <v/>
      </c>
      <c r="D18" s="125" t="str">
        <f ca="1">IF('7. Demand &amp; Supply Forecast'!B20="","",'7. Demand &amp; Supply Forecast'!C20)</f>
        <v/>
      </c>
      <c r="E18" s="126" t="str">
        <f ca="1">IF('7. Demand &amp; Supply Forecast'!B20="","",'7. Demand &amp; Supply Forecast'!G20)</f>
        <v/>
      </c>
      <c r="F18" s="125" t="str">
        <f ca="1">IF('7. Demand &amp; Supply Forecast'!B20="","",'7. Demand &amp; Supply Forecast'!H20)</f>
        <v/>
      </c>
      <c r="G18" s="127" t="str">
        <f ca="1">IF('7. Demand &amp; Supply Forecast'!B20="","",'7. Demand &amp; Supply Forecast'!I20)</f>
        <v/>
      </c>
      <c r="H18" s="117" t="str">
        <f ca="1">IF('7. Demand &amp; Supply Forecast'!B20="","",'7. Demand &amp; Supply Forecast'!Q20)</f>
        <v/>
      </c>
      <c r="I18" s="116" t="str">
        <f ca="1">IF('7. Demand &amp; Supply Forecast'!B20="","",'7. Demand &amp; Supply Forecast'!R20)</f>
        <v/>
      </c>
      <c r="J18" s="118" t="str">
        <f ca="1">IF('7. Demand &amp; Supply Forecast'!B20="","",'7. Demand &amp; Supply Forecast'!S20)</f>
        <v/>
      </c>
      <c r="K18" s="125" t="str">
        <f ca="1">IF('Hidden-Forecast Calculations'!E13="","",'Hidden-Forecast Calculations'!U13)</f>
        <v/>
      </c>
      <c r="L18" s="125" t="str">
        <f ca="1">IF('Hidden-Forecast Calculations'!E13="","",'Hidden-Forecast Calculations'!V13)</f>
        <v/>
      </c>
      <c r="M18" s="125" t="str">
        <f ca="1">IF('Hidden-Forecast Calculations'!E13="","",'Hidden-Forecast Calculations'!W13)</f>
        <v/>
      </c>
      <c r="N18" s="128" t="str">
        <f ca="1">'Hidden-Forecast Calculations'!R13</f>
        <v/>
      </c>
      <c r="O18" s="129" t="str">
        <f ca="1">'Hidden-Forecast Calculations'!S13</f>
        <v/>
      </c>
      <c r="P18" s="130" t="str">
        <f ca="1">'Hidden-Forecast Calculations'!T13</f>
        <v/>
      </c>
      <c r="Q18" s="124" t="str">
        <f ca="1">'Hidden-Forecast Calculations'!H13</f>
        <v/>
      </c>
      <c r="R18" s="124" t="str">
        <f ca="1">IF('Hidden-Forecast Calculations'!I13=0,"",'Hidden-Forecast Calculations'!I13)</f>
        <v/>
      </c>
      <c r="S18" s="131" t="str">
        <f ca="1">'Hidden-Forecast Calculations'!M13</f>
        <v/>
      </c>
    </row>
    <row r="19" spans="2:19" ht="20.100000000000001" customHeight="1" x14ac:dyDescent="0.2">
      <c r="B19" s="123" t="str">
        <f ca="1">'Hidden-Forecast Calculations'!E14</f>
        <v/>
      </c>
      <c r="C19" s="124" t="str">
        <f ca="1">'Hidden-Forecast Calculations'!J14</f>
        <v/>
      </c>
      <c r="D19" s="125" t="str">
        <f ca="1">IF('7. Demand &amp; Supply Forecast'!B21="","",'7. Demand &amp; Supply Forecast'!C21)</f>
        <v/>
      </c>
      <c r="E19" s="126" t="str">
        <f ca="1">IF('7. Demand &amp; Supply Forecast'!B21="","",'7. Demand &amp; Supply Forecast'!G21)</f>
        <v/>
      </c>
      <c r="F19" s="125" t="str">
        <f ca="1">IF('7. Demand &amp; Supply Forecast'!B21="","",'7. Demand &amp; Supply Forecast'!H21)</f>
        <v/>
      </c>
      <c r="G19" s="127" t="str">
        <f ca="1">IF('7. Demand &amp; Supply Forecast'!B21="","",'7. Demand &amp; Supply Forecast'!I21)</f>
        <v/>
      </c>
      <c r="H19" s="117" t="str">
        <f ca="1">IF('7. Demand &amp; Supply Forecast'!B21="","",'7. Demand &amp; Supply Forecast'!Q21)</f>
        <v/>
      </c>
      <c r="I19" s="116" t="str">
        <f ca="1">IF('7. Demand &amp; Supply Forecast'!B21="","",'7. Demand &amp; Supply Forecast'!R21)</f>
        <v/>
      </c>
      <c r="J19" s="118" t="str">
        <f ca="1">IF('7. Demand &amp; Supply Forecast'!B21="","",'7. Demand &amp; Supply Forecast'!S21)</f>
        <v/>
      </c>
      <c r="K19" s="125" t="str">
        <f ca="1">IF('Hidden-Forecast Calculations'!E14="","",'Hidden-Forecast Calculations'!U14)</f>
        <v/>
      </c>
      <c r="L19" s="125" t="str">
        <f ca="1">IF('Hidden-Forecast Calculations'!E14="","",'Hidden-Forecast Calculations'!V14)</f>
        <v/>
      </c>
      <c r="M19" s="125" t="str">
        <f ca="1">IF('Hidden-Forecast Calculations'!E14="","",'Hidden-Forecast Calculations'!W14)</f>
        <v/>
      </c>
      <c r="N19" s="128" t="str">
        <f ca="1">'Hidden-Forecast Calculations'!R14</f>
        <v/>
      </c>
      <c r="O19" s="129" t="str">
        <f ca="1">'Hidden-Forecast Calculations'!S14</f>
        <v/>
      </c>
      <c r="P19" s="130" t="str">
        <f ca="1">'Hidden-Forecast Calculations'!T14</f>
        <v/>
      </c>
      <c r="Q19" s="124" t="str">
        <f ca="1">'Hidden-Forecast Calculations'!H14</f>
        <v/>
      </c>
      <c r="R19" s="124" t="str">
        <f ca="1">IF('Hidden-Forecast Calculations'!I14=0,"",'Hidden-Forecast Calculations'!I14)</f>
        <v/>
      </c>
      <c r="S19" s="131" t="str">
        <f ca="1">'Hidden-Forecast Calculations'!M14</f>
        <v/>
      </c>
    </row>
    <row r="20" spans="2:19" ht="20.100000000000001" customHeight="1" x14ac:dyDescent="0.2">
      <c r="B20" s="123" t="str">
        <f ca="1">'Hidden-Forecast Calculations'!E15</f>
        <v/>
      </c>
      <c r="C20" s="124" t="str">
        <f ca="1">'Hidden-Forecast Calculations'!J15</f>
        <v/>
      </c>
      <c r="D20" s="125" t="str">
        <f ca="1">IF('7. Demand &amp; Supply Forecast'!B22="","",'7. Demand &amp; Supply Forecast'!C22)</f>
        <v/>
      </c>
      <c r="E20" s="126" t="str">
        <f ca="1">IF('7. Demand &amp; Supply Forecast'!B22="","",'7. Demand &amp; Supply Forecast'!G22)</f>
        <v/>
      </c>
      <c r="F20" s="125" t="str">
        <f ca="1">IF('7. Demand &amp; Supply Forecast'!B22="","",'7. Demand &amp; Supply Forecast'!H22)</f>
        <v/>
      </c>
      <c r="G20" s="127" t="str">
        <f ca="1">IF('7. Demand &amp; Supply Forecast'!B22="","",'7. Demand &amp; Supply Forecast'!I22)</f>
        <v/>
      </c>
      <c r="H20" s="117" t="str">
        <f ca="1">IF('7. Demand &amp; Supply Forecast'!B22="","",'7. Demand &amp; Supply Forecast'!Q22)</f>
        <v/>
      </c>
      <c r="I20" s="116" t="str">
        <f ca="1">IF('7. Demand &amp; Supply Forecast'!B22="","",'7. Demand &amp; Supply Forecast'!R22)</f>
        <v/>
      </c>
      <c r="J20" s="118" t="str">
        <f ca="1">IF('7. Demand &amp; Supply Forecast'!B22="","",'7. Demand &amp; Supply Forecast'!S22)</f>
        <v/>
      </c>
      <c r="K20" s="125" t="str">
        <f ca="1">IF('Hidden-Forecast Calculations'!E15="","",'Hidden-Forecast Calculations'!U15)</f>
        <v/>
      </c>
      <c r="L20" s="125" t="str">
        <f ca="1">IF('Hidden-Forecast Calculations'!E15="","",'Hidden-Forecast Calculations'!V15)</f>
        <v/>
      </c>
      <c r="M20" s="125" t="str">
        <f ca="1">IF('Hidden-Forecast Calculations'!E15="","",'Hidden-Forecast Calculations'!W15)</f>
        <v/>
      </c>
      <c r="N20" s="128" t="str">
        <f ca="1">'Hidden-Forecast Calculations'!R15</f>
        <v/>
      </c>
      <c r="O20" s="129" t="str">
        <f ca="1">'Hidden-Forecast Calculations'!S15</f>
        <v/>
      </c>
      <c r="P20" s="130" t="str">
        <f ca="1">'Hidden-Forecast Calculations'!T15</f>
        <v/>
      </c>
      <c r="Q20" s="124" t="str">
        <f ca="1">'Hidden-Forecast Calculations'!H15</f>
        <v/>
      </c>
      <c r="R20" s="124" t="str">
        <f ca="1">IF('Hidden-Forecast Calculations'!I15=0,"",'Hidden-Forecast Calculations'!I15)</f>
        <v/>
      </c>
      <c r="S20" s="131" t="str">
        <f ca="1">'Hidden-Forecast Calculations'!M15</f>
        <v/>
      </c>
    </row>
    <row r="21" spans="2:19" ht="20.100000000000001" customHeight="1" x14ac:dyDescent="0.2">
      <c r="B21" s="123" t="str">
        <f ca="1">'Hidden-Forecast Calculations'!E16</f>
        <v/>
      </c>
      <c r="C21" s="124" t="str">
        <f ca="1">'Hidden-Forecast Calculations'!J16</f>
        <v/>
      </c>
      <c r="D21" s="125" t="str">
        <f ca="1">IF('7. Demand &amp; Supply Forecast'!B23="","",'7. Demand &amp; Supply Forecast'!C23)</f>
        <v/>
      </c>
      <c r="E21" s="126" t="str">
        <f ca="1">IF('7. Demand &amp; Supply Forecast'!B23="","",'7. Demand &amp; Supply Forecast'!G23)</f>
        <v/>
      </c>
      <c r="F21" s="125" t="str">
        <f ca="1">IF('7. Demand &amp; Supply Forecast'!B23="","",'7. Demand &amp; Supply Forecast'!H23)</f>
        <v/>
      </c>
      <c r="G21" s="127" t="str">
        <f ca="1">IF('7. Demand &amp; Supply Forecast'!B23="","",'7. Demand &amp; Supply Forecast'!I23)</f>
        <v/>
      </c>
      <c r="H21" s="117" t="str">
        <f ca="1">IF('7. Demand &amp; Supply Forecast'!B23="","",'7. Demand &amp; Supply Forecast'!Q23)</f>
        <v/>
      </c>
      <c r="I21" s="116" t="str">
        <f ca="1">IF('7. Demand &amp; Supply Forecast'!B23="","",'7. Demand &amp; Supply Forecast'!R23)</f>
        <v/>
      </c>
      <c r="J21" s="118" t="str">
        <f ca="1">IF('7. Demand &amp; Supply Forecast'!B23="","",'7. Demand &amp; Supply Forecast'!S23)</f>
        <v/>
      </c>
      <c r="K21" s="125" t="str">
        <f ca="1">IF('Hidden-Forecast Calculations'!E16="","",'Hidden-Forecast Calculations'!U16)</f>
        <v/>
      </c>
      <c r="L21" s="125" t="str">
        <f ca="1">IF('Hidden-Forecast Calculations'!E16="","",'Hidden-Forecast Calculations'!V16)</f>
        <v/>
      </c>
      <c r="M21" s="125" t="str">
        <f ca="1">IF('Hidden-Forecast Calculations'!E16="","",'Hidden-Forecast Calculations'!W16)</f>
        <v/>
      </c>
      <c r="N21" s="128" t="str">
        <f ca="1">'Hidden-Forecast Calculations'!R16</f>
        <v/>
      </c>
      <c r="O21" s="129" t="str">
        <f ca="1">'Hidden-Forecast Calculations'!S16</f>
        <v/>
      </c>
      <c r="P21" s="130" t="str">
        <f ca="1">'Hidden-Forecast Calculations'!T16</f>
        <v/>
      </c>
      <c r="Q21" s="124" t="str">
        <f ca="1">'Hidden-Forecast Calculations'!H16</f>
        <v/>
      </c>
      <c r="R21" s="124" t="str">
        <f ca="1">IF('Hidden-Forecast Calculations'!I16=0,"",'Hidden-Forecast Calculations'!I16)</f>
        <v/>
      </c>
      <c r="S21" s="131" t="str">
        <f ca="1">'Hidden-Forecast Calculations'!M16</f>
        <v/>
      </c>
    </row>
    <row r="22" spans="2:19" ht="20.100000000000001" customHeight="1" x14ac:dyDescent="0.2">
      <c r="B22" s="123" t="str">
        <f ca="1">'Hidden-Forecast Calculations'!E17</f>
        <v/>
      </c>
      <c r="C22" s="124" t="str">
        <f ca="1">'Hidden-Forecast Calculations'!J17</f>
        <v/>
      </c>
      <c r="D22" s="125" t="str">
        <f ca="1">IF('7. Demand &amp; Supply Forecast'!B24="","",'7. Demand &amp; Supply Forecast'!C24)</f>
        <v/>
      </c>
      <c r="E22" s="126" t="str">
        <f ca="1">IF('7. Demand &amp; Supply Forecast'!B24="","",'7. Demand &amp; Supply Forecast'!G24)</f>
        <v/>
      </c>
      <c r="F22" s="125" t="str">
        <f ca="1">IF('7. Demand &amp; Supply Forecast'!B24="","",'7. Demand &amp; Supply Forecast'!H24)</f>
        <v/>
      </c>
      <c r="G22" s="127" t="str">
        <f ca="1">IF('7. Demand &amp; Supply Forecast'!B24="","",'7. Demand &amp; Supply Forecast'!I24)</f>
        <v/>
      </c>
      <c r="H22" s="117" t="str">
        <f ca="1">IF('7. Demand &amp; Supply Forecast'!B24="","",'7. Demand &amp; Supply Forecast'!Q24)</f>
        <v/>
      </c>
      <c r="I22" s="116" t="str">
        <f ca="1">IF('7. Demand &amp; Supply Forecast'!B24="","",'7. Demand &amp; Supply Forecast'!R24)</f>
        <v/>
      </c>
      <c r="J22" s="118" t="str">
        <f ca="1">IF('7. Demand &amp; Supply Forecast'!B24="","",'7. Demand &amp; Supply Forecast'!S24)</f>
        <v/>
      </c>
      <c r="K22" s="125" t="str">
        <f ca="1">IF('Hidden-Forecast Calculations'!E17="","",'Hidden-Forecast Calculations'!U17)</f>
        <v/>
      </c>
      <c r="L22" s="125" t="str">
        <f ca="1">IF('Hidden-Forecast Calculations'!E17="","",'Hidden-Forecast Calculations'!V17)</f>
        <v/>
      </c>
      <c r="M22" s="125" t="str">
        <f ca="1">IF('Hidden-Forecast Calculations'!E17="","",'Hidden-Forecast Calculations'!W17)</f>
        <v/>
      </c>
      <c r="N22" s="128" t="str">
        <f ca="1">'Hidden-Forecast Calculations'!R17</f>
        <v/>
      </c>
      <c r="O22" s="129" t="str">
        <f ca="1">'Hidden-Forecast Calculations'!S17</f>
        <v/>
      </c>
      <c r="P22" s="130" t="str">
        <f ca="1">'Hidden-Forecast Calculations'!T17</f>
        <v/>
      </c>
      <c r="Q22" s="124" t="str">
        <f ca="1">'Hidden-Forecast Calculations'!H17</f>
        <v/>
      </c>
      <c r="R22" s="124" t="str">
        <f ca="1">IF('Hidden-Forecast Calculations'!I17=0,"",'Hidden-Forecast Calculations'!I17)</f>
        <v/>
      </c>
      <c r="S22" s="131" t="str">
        <f ca="1">'Hidden-Forecast Calculations'!M17</f>
        <v/>
      </c>
    </row>
    <row r="23" spans="2:19" ht="20.100000000000001" customHeight="1" x14ac:dyDescent="0.2">
      <c r="B23" s="123" t="str">
        <f ca="1">'Hidden-Forecast Calculations'!E18</f>
        <v/>
      </c>
      <c r="C23" s="124" t="str">
        <f ca="1">'Hidden-Forecast Calculations'!J18</f>
        <v/>
      </c>
      <c r="D23" s="125" t="str">
        <f ca="1">IF('7. Demand &amp; Supply Forecast'!B25="","",'7. Demand &amp; Supply Forecast'!C25)</f>
        <v/>
      </c>
      <c r="E23" s="126" t="str">
        <f ca="1">IF('7. Demand &amp; Supply Forecast'!B25="","",'7. Demand &amp; Supply Forecast'!G25)</f>
        <v/>
      </c>
      <c r="F23" s="125" t="str">
        <f ca="1">IF('7. Demand &amp; Supply Forecast'!B25="","",'7. Demand &amp; Supply Forecast'!H25)</f>
        <v/>
      </c>
      <c r="G23" s="127" t="str">
        <f ca="1">IF('7. Demand &amp; Supply Forecast'!B25="","",'7. Demand &amp; Supply Forecast'!I25)</f>
        <v/>
      </c>
      <c r="H23" s="117" t="str">
        <f ca="1">IF('7. Demand &amp; Supply Forecast'!B25="","",'7. Demand &amp; Supply Forecast'!Q25)</f>
        <v/>
      </c>
      <c r="I23" s="116" t="str">
        <f ca="1">IF('7. Demand &amp; Supply Forecast'!B25="","",'7. Demand &amp; Supply Forecast'!R25)</f>
        <v/>
      </c>
      <c r="J23" s="118" t="str">
        <f ca="1">IF('7. Demand &amp; Supply Forecast'!B25="","",'7. Demand &amp; Supply Forecast'!S25)</f>
        <v/>
      </c>
      <c r="K23" s="125" t="str">
        <f ca="1">IF('Hidden-Forecast Calculations'!E18="","",'Hidden-Forecast Calculations'!U18)</f>
        <v/>
      </c>
      <c r="L23" s="125" t="str">
        <f ca="1">IF('Hidden-Forecast Calculations'!E18="","",'Hidden-Forecast Calculations'!V18)</f>
        <v/>
      </c>
      <c r="M23" s="125" t="str">
        <f ca="1">IF('Hidden-Forecast Calculations'!E18="","",'Hidden-Forecast Calculations'!W18)</f>
        <v/>
      </c>
      <c r="N23" s="128" t="str">
        <f ca="1">'Hidden-Forecast Calculations'!R18</f>
        <v/>
      </c>
      <c r="O23" s="129" t="str">
        <f ca="1">'Hidden-Forecast Calculations'!S18</f>
        <v/>
      </c>
      <c r="P23" s="130" t="str">
        <f ca="1">'Hidden-Forecast Calculations'!T18</f>
        <v/>
      </c>
      <c r="Q23" s="124" t="str">
        <f ca="1">'Hidden-Forecast Calculations'!H18</f>
        <v/>
      </c>
      <c r="R23" s="124" t="str">
        <f ca="1">IF('Hidden-Forecast Calculations'!I18=0,"",'Hidden-Forecast Calculations'!I18)</f>
        <v/>
      </c>
      <c r="S23" s="131" t="str">
        <f ca="1">'Hidden-Forecast Calculations'!M18</f>
        <v/>
      </c>
    </row>
    <row r="24" spans="2:19" ht="20.100000000000001" customHeight="1" x14ac:dyDescent="0.2">
      <c r="B24" s="123" t="str">
        <f ca="1">'Hidden-Forecast Calculations'!E19</f>
        <v/>
      </c>
      <c r="C24" s="124" t="str">
        <f ca="1">'Hidden-Forecast Calculations'!J19</f>
        <v/>
      </c>
      <c r="D24" s="125" t="str">
        <f ca="1">IF('7. Demand &amp; Supply Forecast'!B26="","",'7. Demand &amp; Supply Forecast'!C26)</f>
        <v/>
      </c>
      <c r="E24" s="126" t="str">
        <f ca="1">IF('7. Demand &amp; Supply Forecast'!B26="","",'7. Demand &amp; Supply Forecast'!G26)</f>
        <v/>
      </c>
      <c r="F24" s="125" t="str">
        <f ca="1">IF('7. Demand &amp; Supply Forecast'!B26="","",'7. Demand &amp; Supply Forecast'!H26)</f>
        <v/>
      </c>
      <c r="G24" s="127" t="str">
        <f ca="1">IF('7. Demand &amp; Supply Forecast'!B26="","",'7. Demand &amp; Supply Forecast'!I26)</f>
        <v/>
      </c>
      <c r="H24" s="117" t="str">
        <f ca="1">IF('7. Demand &amp; Supply Forecast'!B26="","",'7. Demand &amp; Supply Forecast'!Q26)</f>
        <v/>
      </c>
      <c r="I24" s="116" t="str">
        <f ca="1">IF('7. Demand &amp; Supply Forecast'!B26="","",'7. Demand &amp; Supply Forecast'!R26)</f>
        <v/>
      </c>
      <c r="J24" s="118" t="str">
        <f ca="1">IF('7. Demand &amp; Supply Forecast'!B26="","",'7. Demand &amp; Supply Forecast'!S26)</f>
        <v/>
      </c>
      <c r="K24" s="125" t="str">
        <f ca="1">IF('Hidden-Forecast Calculations'!E19="","",'Hidden-Forecast Calculations'!U19)</f>
        <v/>
      </c>
      <c r="L24" s="125" t="str">
        <f ca="1">IF('Hidden-Forecast Calculations'!E19="","",'Hidden-Forecast Calculations'!V19)</f>
        <v/>
      </c>
      <c r="M24" s="125" t="str">
        <f ca="1">IF('Hidden-Forecast Calculations'!E19="","",'Hidden-Forecast Calculations'!W19)</f>
        <v/>
      </c>
      <c r="N24" s="128" t="str">
        <f ca="1">'Hidden-Forecast Calculations'!R19</f>
        <v/>
      </c>
      <c r="O24" s="129" t="str">
        <f ca="1">'Hidden-Forecast Calculations'!S19</f>
        <v/>
      </c>
      <c r="P24" s="130" t="str">
        <f ca="1">'Hidden-Forecast Calculations'!T19</f>
        <v/>
      </c>
      <c r="Q24" s="124" t="str">
        <f ca="1">'Hidden-Forecast Calculations'!H19</f>
        <v/>
      </c>
      <c r="R24" s="124" t="str">
        <f ca="1">IF('Hidden-Forecast Calculations'!I19=0,"",'Hidden-Forecast Calculations'!I19)</f>
        <v/>
      </c>
      <c r="S24" s="131" t="str">
        <f ca="1">'Hidden-Forecast Calculations'!M19</f>
        <v/>
      </c>
    </row>
    <row r="25" spans="2:19" ht="20.100000000000001" customHeight="1" x14ac:dyDescent="0.2">
      <c r="B25" s="123" t="str">
        <f ca="1">'Hidden-Forecast Calculations'!E20</f>
        <v/>
      </c>
      <c r="C25" s="124" t="str">
        <f ca="1">'Hidden-Forecast Calculations'!J20</f>
        <v/>
      </c>
      <c r="D25" s="125" t="str">
        <f ca="1">IF('7. Demand &amp; Supply Forecast'!B27="","",'7. Demand &amp; Supply Forecast'!C27)</f>
        <v/>
      </c>
      <c r="E25" s="126" t="str">
        <f ca="1">IF('7. Demand &amp; Supply Forecast'!B27="","",'7. Demand &amp; Supply Forecast'!G27)</f>
        <v/>
      </c>
      <c r="F25" s="125" t="str">
        <f ca="1">IF('7. Demand &amp; Supply Forecast'!B27="","",'7. Demand &amp; Supply Forecast'!H27)</f>
        <v/>
      </c>
      <c r="G25" s="127" t="str">
        <f ca="1">IF('7. Demand &amp; Supply Forecast'!B27="","",'7. Demand &amp; Supply Forecast'!I27)</f>
        <v/>
      </c>
      <c r="H25" s="117" t="str">
        <f ca="1">IF('7. Demand &amp; Supply Forecast'!B27="","",'7. Demand &amp; Supply Forecast'!Q27)</f>
        <v/>
      </c>
      <c r="I25" s="116" t="str">
        <f ca="1">IF('7. Demand &amp; Supply Forecast'!B27="","",'7. Demand &amp; Supply Forecast'!R27)</f>
        <v/>
      </c>
      <c r="J25" s="118" t="str">
        <f ca="1">IF('7. Demand &amp; Supply Forecast'!B27="","",'7. Demand &amp; Supply Forecast'!S27)</f>
        <v/>
      </c>
      <c r="K25" s="125" t="str">
        <f ca="1">IF('Hidden-Forecast Calculations'!E20="","",'Hidden-Forecast Calculations'!U20)</f>
        <v/>
      </c>
      <c r="L25" s="125" t="str">
        <f ca="1">IF('Hidden-Forecast Calculations'!E20="","",'Hidden-Forecast Calculations'!V20)</f>
        <v/>
      </c>
      <c r="M25" s="125" t="str">
        <f ca="1">IF('Hidden-Forecast Calculations'!E20="","",'Hidden-Forecast Calculations'!W20)</f>
        <v/>
      </c>
      <c r="N25" s="128" t="str">
        <f ca="1">'Hidden-Forecast Calculations'!R20</f>
        <v/>
      </c>
      <c r="O25" s="129" t="str">
        <f ca="1">'Hidden-Forecast Calculations'!S20</f>
        <v/>
      </c>
      <c r="P25" s="130" t="str">
        <f ca="1">'Hidden-Forecast Calculations'!T20</f>
        <v/>
      </c>
      <c r="Q25" s="124" t="str">
        <f ca="1">'Hidden-Forecast Calculations'!H20</f>
        <v/>
      </c>
      <c r="R25" s="124" t="str">
        <f ca="1">IF('Hidden-Forecast Calculations'!I20=0,"",'Hidden-Forecast Calculations'!I20)</f>
        <v/>
      </c>
      <c r="S25" s="131" t="str">
        <f ca="1">'Hidden-Forecast Calculations'!M20</f>
        <v/>
      </c>
    </row>
    <row r="26" spans="2:19" ht="20.100000000000001" customHeight="1" x14ac:dyDescent="0.2">
      <c r="B26" s="123" t="str">
        <f ca="1">'Hidden-Forecast Calculations'!E21</f>
        <v/>
      </c>
      <c r="C26" s="124" t="str">
        <f ca="1">'Hidden-Forecast Calculations'!J21</f>
        <v/>
      </c>
      <c r="D26" s="125" t="str">
        <f ca="1">IF('7. Demand &amp; Supply Forecast'!B28="","",'7. Demand &amp; Supply Forecast'!C28)</f>
        <v/>
      </c>
      <c r="E26" s="126" t="str">
        <f ca="1">IF('7. Demand &amp; Supply Forecast'!B28="","",'7. Demand &amp; Supply Forecast'!G28)</f>
        <v/>
      </c>
      <c r="F26" s="125" t="str">
        <f ca="1">IF('7. Demand &amp; Supply Forecast'!B28="","",'7. Demand &amp; Supply Forecast'!H28)</f>
        <v/>
      </c>
      <c r="G26" s="127" t="str">
        <f ca="1">IF('7. Demand &amp; Supply Forecast'!B28="","",'7. Demand &amp; Supply Forecast'!I28)</f>
        <v/>
      </c>
      <c r="H26" s="117" t="str">
        <f ca="1">IF('7. Demand &amp; Supply Forecast'!B28="","",'7. Demand &amp; Supply Forecast'!Q28)</f>
        <v/>
      </c>
      <c r="I26" s="116" t="str">
        <f ca="1">IF('7. Demand &amp; Supply Forecast'!B28="","",'7. Demand &amp; Supply Forecast'!R28)</f>
        <v/>
      </c>
      <c r="J26" s="118" t="str">
        <f ca="1">IF('7. Demand &amp; Supply Forecast'!B28="","",'7. Demand &amp; Supply Forecast'!S28)</f>
        <v/>
      </c>
      <c r="K26" s="125" t="str">
        <f ca="1">IF('Hidden-Forecast Calculations'!E21="","",'Hidden-Forecast Calculations'!U21)</f>
        <v/>
      </c>
      <c r="L26" s="125" t="str">
        <f ca="1">IF('Hidden-Forecast Calculations'!E21="","",'Hidden-Forecast Calculations'!V21)</f>
        <v/>
      </c>
      <c r="M26" s="125" t="str">
        <f ca="1">IF('Hidden-Forecast Calculations'!E21="","",'Hidden-Forecast Calculations'!W21)</f>
        <v/>
      </c>
      <c r="N26" s="128" t="str">
        <f ca="1">'Hidden-Forecast Calculations'!R21</f>
        <v/>
      </c>
      <c r="O26" s="129" t="str">
        <f ca="1">'Hidden-Forecast Calculations'!S21</f>
        <v/>
      </c>
      <c r="P26" s="130" t="str">
        <f ca="1">'Hidden-Forecast Calculations'!T21</f>
        <v/>
      </c>
      <c r="Q26" s="124" t="str">
        <f ca="1">'Hidden-Forecast Calculations'!H21</f>
        <v/>
      </c>
      <c r="R26" s="124" t="str">
        <f ca="1">IF('Hidden-Forecast Calculations'!I21=0,"",'Hidden-Forecast Calculations'!I21)</f>
        <v/>
      </c>
      <c r="S26" s="131" t="str">
        <f ca="1">'Hidden-Forecast Calculations'!M21</f>
        <v/>
      </c>
    </row>
    <row r="27" spans="2:19" ht="20.100000000000001" customHeight="1" x14ac:dyDescent="0.2">
      <c r="B27" s="123" t="str">
        <f ca="1">'Hidden-Forecast Calculations'!E22</f>
        <v/>
      </c>
      <c r="C27" s="124" t="str">
        <f ca="1">'Hidden-Forecast Calculations'!J22</f>
        <v/>
      </c>
      <c r="D27" s="125" t="str">
        <f ca="1">IF('7. Demand &amp; Supply Forecast'!B29="","",'7. Demand &amp; Supply Forecast'!C29)</f>
        <v/>
      </c>
      <c r="E27" s="126" t="str">
        <f ca="1">IF('7. Demand &amp; Supply Forecast'!B29="","",'7. Demand &amp; Supply Forecast'!G29)</f>
        <v/>
      </c>
      <c r="F27" s="125" t="str">
        <f ca="1">IF('7. Demand &amp; Supply Forecast'!B29="","",'7. Demand &amp; Supply Forecast'!H29)</f>
        <v/>
      </c>
      <c r="G27" s="127" t="str">
        <f ca="1">IF('7. Demand &amp; Supply Forecast'!B29="","",'7. Demand &amp; Supply Forecast'!I29)</f>
        <v/>
      </c>
      <c r="H27" s="117" t="str">
        <f ca="1">IF('7. Demand &amp; Supply Forecast'!B29="","",'7. Demand &amp; Supply Forecast'!Q29)</f>
        <v/>
      </c>
      <c r="I27" s="116" t="str">
        <f ca="1">IF('7. Demand &amp; Supply Forecast'!B29="","",'7. Demand &amp; Supply Forecast'!R29)</f>
        <v/>
      </c>
      <c r="J27" s="118" t="str">
        <f ca="1">IF('7. Demand &amp; Supply Forecast'!B29="","",'7. Demand &amp; Supply Forecast'!S29)</f>
        <v/>
      </c>
      <c r="K27" s="125" t="str">
        <f ca="1">IF('Hidden-Forecast Calculations'!E22="","",'Hidden-Forecast Calculations'!U22)</f>
        <v/>
      </c>
      <c r="L27" s="125" t="str">
        <f ca="1">IF('Hidden-Forecast Calculations'!E22="","",'Hidden-Forecast Calculations'!V22)</f>
        <v/>
      </c>
      <c r="M27" s="125" t="str">
        <f ca="1">IF('Hidden-Forecast Calculations'!E22="","",'Hidden-Forecast Calculations'!W22)</f>
        <v/>
      </c>
      <c r="N27" s="128" t="str">
        <f ca="1">'Hidden-Forecast Calculations'!R22</f>
        <v/>
      </c>
      <c r="O27" s="129" t="str">
        <f ca="1">'Hidden-Forecast Calculations'!S22</f>
        <v/>
      </c>
      <c r="P27" s="130" t="str">
        <f ca="1">'Hidden-Forecast Calculations'!T22</f>
        <v/>
      </c>
      <c r="Q27" s="124" t="str">
        <f ca="1">'Hidden-Forecast Calculations'!H22</f>
        <v/>
      </c>
      <c r="R27" s="124" t="str">
        <f ca="1">IF('Hidden-Forecast Calculations'!I22=0,"",'Hidden-Forecast Calculations'!I22)</f>
        <v/>
      </c>
      <c r="S27" s="131" t="str">
        <f ca="1">'Hidden-Forecast Calculations'!M22</f>
        <v/>
      </c>
    </row>
    <row r="28" spans="2:19" ht="20.100000000000001" customHeight="1" x14ac:dyDescent="0.2">
      <c r="B28" s="123" t="str">
        <f ca="1">'Hidden-Forecast Calculations'!E23</f>
        <v/>
      </c>
      <c r="C28" s="124" t="str">
        <f ca="1">'Hidden-Forecast Calculations'!J23</f>
        <v/>
      </c>
      <c r="D28" s="125" t="str">
        <f ca="1">IF('7. Demand &amp; Supply Forecast'!B30="","",'7. Demand &amp; Supply Forecast'!C30)</f>
        <v/>
      </c>
      <c r="E28" s="126" t="str">
        <f ca="1">IF('7. Demand &amp; Supply Forecast'!B30="","",'7. Demand &amp; Supply Forecast'!G30)</f>
        <v/>
      </c>
      <c r="F28" s="125" t="str">
        <f ca="1">IF('7. Demand &amp; Supply Forecast'!B30="","",'7. Demand &amp; Supply Forecast'!H30)</f>
        <v/>
      </c>
      <c r="G28" s="127" t="str">
        <f ca="1">IF('7. Demand &amp; Supply Forecast'!B30="","",'7. Demand &amp; Supply Forecast'!I30)</f>
        <v/>
      </c>
      <c r="H28" s="117" t="str">
        <f ca="1">IF('7. Demand &amp; Supply Forecast'!B30="","",'7. Demand &amp; Supply Forecast'!Q30)</f>
        <v/>
      </c>
      <c r="I28" s="116" t="str">
        <f ca="1">IF('7. Demand &amp; Supply Forecast'!B30="","",'7. Demand &amp; Supply Forecast'!R30)</f>
        <v/>
      </c>
      <c r="J28" s="118" t="str">
        <f ca="1">IF('7. Demand &amp; Supply Forecast'!B30="","",'7. Demand &amp; Supply Forecast'!S30)</f>
        <v/>
      </c>
      <c r="K28" s="125" t="str">
        <f ca="1">IF('Hidden-Forecast Calculations'!E23="","",'Hidden-Forecast Calculations'!U23)</f>
        <v/>
      </c>
      <c r="L28" s="125" t="str">
        <f ca="1">IF('Hidden-Forecast Calculations'!E23="","",'Hidden-Forecast Calculations'!V23)</f>
        <v/>
      </c>
      <c r="M28" s="125" t="str">
        <f ca="1">IF('Hidden-Forecast Calculations'!E23="","",'Hidden-Forecast Calculations'!W23)</f>
        <v/>
      </c>
      <c r="N28" s="128" t="str">
        <f ca="1">'Hidden-Forecast Calculations'!R23</f>
        <v/>
      </c>
      <c r="O28" s="129" t="str">
        <f ca="1">'Hidden-Forecast Calculations'!S23</f>
        <v/>
      </c>
      <c r="P28" s="130" t="str">
        <f ca="1">'Hidden-Forecast Calculations'!T23</f>
        <v/>
      </c>
      <c r="Q28" s="124" t="str">
        <f ca="1">'Hidden-Forecast Calculations'!H23</f>
        <v/>
      </c>
      <c r="R28" s="124" t="str">
        <f ca="1">IF('Hidden-Forecast Calculations'!I23=0,"",'Hidden-Forecast Calculations'!I23)</f>
        <v/>
      </c>
      <c r="S28" s="131" t="str">
        <f ca="1">'Hidden-Forecast Calculations'!M23</f>
        <v/>
      </c>
    </row>
    <row r="29" spans="2:19" ht="20.100000000000001" customHeight="1" x14ac:dyDescent="0.2">
      <c r="B29" s="123" t="str">
        <f ca="1">'Hidden-Forecast Calculations'!E24</f>
        <v/>
      </c>
      <c r="C29" s="124" t="str">
        <f ca="1">'Hidden-Forecast Calculations'!J24</f>
        <v/>
      </c>
      <c r="D29" s="125" t="str">
        <f ca="1">IF('7. Demand &amp; Supply Forecast'!B31="","",'7. Demand &amp; Supply Forecast'!C31)</f>
        <v/>
      </c>
      <c r="E29" s="126" t="str">
        <f ca="1">IF('7. Demand &amp; Supply Forecast'!B31="","",'7. Demand &amp; Supply Forecast'!G31)</f>
        <v/>
      </c>
      <c r="F29" s="125" t="str">
        <f ca="1">IF('7. Demand &amp; Supply Forecast'!B31="","",'7. Demand &amp; Supply Forecast'!H31)</f>
        <v/>
      </c>
      <c r="G29" s="127" t="str">
        <f ca="1">IF('7. Demand &amp; Supply Forecast'!B31="","",'7. Demand &amp; Supply Forecast'!I31)</f>
        <v/>
      </c>
      <c r="H29" s="117" t="str">
        <f ca="1">IF('7. Demand &amp; Supply Forecast'!B31="","",'7. Demand &amp; Supply Forecast'!Q31)</f>
        <v/>
      </c>
      <c r="I29" s="116" t="str">
        <f ca="1">IF('7. Demand &amp; Supply Forecast'!B31="","",'7. Demand &amp; Supply Forecast'!R31)</f>
        <v/>
      </c>
      <c r="J29" s="118" t="str">
        <f ca="1">IF('7. Demand &amp; Supply Forecast'!B31="","",'7. Demand &amp; Supply Forecast'!S31)</f>
        <v/>
      </c>
      <c r="K29" s="125" t="str">
        <f ca="1">IF('Hidden-Forecast Calculations'!E24="","",'Hidden-Forecast Calculations'!U24)</f>
        <v/>
      </c>
      <c r="L29" s="125" t="str">
        <f ca="1">IF('Hidden-Forecast Calculations'!E24="","",'Hidden-Forecast Calculations'!V24)</f>
        <v/>
      </c>
      <c r="M29" s="125" t="str">
        <f ca="1">IF('Hidden-Forecast Calculations'!E24="","",'Hidden-Forecast Calculations'!W24)</f>
        <v/>
      </c>
      <c r="N29" s="128" t="str">
        <f ca="1">'Hidden-Forecast Calculations'!R24</f>
        <v/>
      </c>
      <c r="O29" s="129" t="str">
        <f ca="1">'Hidden-Forecast Calculations'!S24</f>
        <v/>
      </c>
      <c r="P29" s="130" t="str">
        <f ca="1">'Hidden-Forecast Calculations'!T24</f>
        <v/>
      </c>
      <c r="Q29" s="124" t="str">
        <f ca="1">'Hidden-Forecast Calculations'!H24</f>
        <v/>
      </c>
      <c r="R29" s="124" t="str">
        <f ca="1">IF('Hidden-Forecast Calculations'!I24=0,"",'Hidden-Forecast Calculations'!I24)</f>
        <v/>
      </c>
      <c r="S29" s="131" t="str">
        <f ca="1">'Hidden-Forecast Calculations'!M24</f>
        <v/>
      </c>
    </row>
    <row r="30" spans="2:19" ht="20.100000000000001" customHeight="1" x14ac:dyDescent="0.2">
      <c r="B30" s="123" t="str">
        <f ca="1">'Hidden-Forecast Calculations'!E25</f>
        <v/>
      </c>
      <c r="C30" s="124" t="str">
        <f ca="1">'Hidden-Forecast Calculations'!J25</f>
        <v/>
      </c>
      <c r="D30" s="125" t="str">
        <f ca="1">IF('7. Demand &amp; Supply Forecast'!B32="","",'7. Demand &amp; Supply Forecast'!C32)</f>
        <v/>
      </c>
      <c r="E30" s="126" t="str">
        <f ca="1">IF('7. Demand &amp; Supply Forecast'!B32="","",'7. Demand &amp; Supply Forecast'!G32)</f>
        <v/>
      </c>
      <c r="F30" s="125" t="str">
        <f ca="1">IF('7. Demand &amp; Supply Forecast'!B32="","",'7. Demand &amp; Supply Forecast'!H32)</f>
        <v/>
      </c>
      <c r="G30" s="127" t="str">
        <f ca="1">IF('7. Demand &amp; Supply Forecast'!B32="","",'7. Demand &amp; Supply Forecast'!I32)</f>
        <v/>
      </c>
      <c r="H30" s="117" t="str">
        <f ca="1">IF('7. Demand &amp; Supply Forecast'!B32="","",'7. Demand &amp; Supply Forecast'!Q32)</f>
        <v/>
      </c>
      <c r="I30" s="116" t="str">
        <f ca="1">IF('7. Demand &amp; Supply Forecast'!B32="","",'7. Demand &amp; Supply Forecast'!R32)</f>
        <v/>
      </c>
      <c r="J30" s="118" t="str">
        <f ca="1">IF('7. Demand &amp; Supply Forecast'!B32="","",'7. Demand &amp; Supply Forecast'!S32)</f>
        <v/>
      </c>
      <c r="K30" s="125" t="str">
        <f ca="1">IF('Hidden-Forecast Calculations'!E25="","",'Hidden-Forecast Calculations'!U25)</f>
        <v/>
      </c>
      <c r="L30" s="125" t="str">
        <f ca="1">IF('Hidden-Forecast Calculations'!E25="","",'Hidden-Forecast Calculations'!V25)</f>
        <v/>
      </c>
      <c r="M30" s="125" t="str">
        <f ca="1">IF('Hidden-Forecast Calculations'!E25="","",'Hidden-Forecast Calculations'!W25)</f>
        <v/>
      </c>
      <c r="N30" s="128" t="str">
        <f ca="1">'Hidden-Forecast Calculations'!R25</f>
        <v/>
      </c>
      <c r="O30" s="129" t="str">
        <f ca="1">'Hidden-Forecast Calculations'!S25</f>
        <v/>
      </c>
      <c r="P30" s="130" t="str">
        <f ca="1">'Hidden-Forecast Calculations'!T25</f>
        <v/>
      </c>
      <c r="Q30" s="124" t="str">
        <f ca="1">'Hidden-Forecast Calculations'!H25</f>
        <v/>
      </c>
      <c r="R30" s="124" t="str">
        <f ca="1">IF('Hidden-Forecast Calculations'!I25=0,"",'Hidden-Forecast Calculations'!I25)</f>
        <v/>
      </c>
      <c r="S30" s="131" t="str">
        <f ca="1">'Hidden-Forecast Calculations'!M25</f>
        <v/>
      </c>
    </row>
    <row r="31" spans="2:19" ht="20.100000000000001" customHeight="1" x14ac:dyDescent="0.2">
      <c r="B31" s="123" t="str">
        <f ca="1">'Hidden-Forecast Calculations'!E26</f>
        <v/>
      </c>
      <c r="C31" s="124" t="str">
        <f ca="1">'Hidden-Forecast Calculations'!J26</f>
        <v/>
      </c>
      <c r="D31" s="125" t="str">
        <f ca="1">IF('7. Demand &amp; Supply Forecast'!B33="","",'7. Demand &amp; Supply Forecast'!C33)</f>
        <v/>
      </c>
      <c r="E31" s="126" t="str">
        <f ca="1">IF('7. Demand &amp; Supply Forecast'!B33="","",'7. Demand &amp; Supply Forecast'!G33)</f>
        <v/>
      </c>
      <c r="F31" s="125" t="str">
        <f ca="1">IF('7. Demand &amp; Supply Forecast'!B33="","",'7. Demand &amp; Supply Forecast'!H33)</f>
        <v/>
      </c>
      <c r="G31" s="127" t="str">
        <f ca="1">IF('7. Demand &amp; Supply Forecast'!B33="","",'7. Demand &amp; Supply Forecast'!I33)</f>
        <v/>
      </c>
      <c r="H31" s="117" t="str">
        <f ca="1">IF('7. Demand &amp; Supply Forecast'!B33="","",'7. Demand &amp; Supply Forecast'!Q33)</f>
        <v/>
      </c>
      <c r="I31" s="116" t="str">
        <f ca="1">IF('7. Demand &amp; Supply Forecast'!B33="","",'7. Demand &amp; Supply Forecast'!R33)</f>
        <v/>
      </c>
      <c r="J31" s="118" t="str">
        <f ca="1">IF('7. Demand &amp; Supply Forecast'!B33="","",'7. Demand &amp; Supply Forecast'!S33)</f>
        <v/>
      </c>
      <c r="K31" s="125" t="str">
        <f ca="1">IF('Hidden-Forecast Calculations'!E26="","",'Hidden-Forecast Calculations'!U26)</f>
        <v/>
      </c>
      <c r="L31" s="125" t="str">
        <f ca="1">IF('Hidden-Forecast Calculations'!E26="","",'Hidden-Forecast Calculations'!V26)</f>
        <v/>
      </c>
      <c r="M31" s="125" t="str">
        <f ca="1">IF('Hidden-Forecast Calculations'!E26="","",'Hidden-Forecast Calculations'!W26)</f>
        <v/>
      </c>
      <c r="N31" s="128" t="str">
        <f ca="1">'Hidden-Forecast Calculations'!R26</f>
        <v/>
      </c>
      <c r="O31" s="129" t="str">
        <f ca="1">'Hidden-Forecast Calculations'!S26</f>
        <v/>
      </c>
      <c r="P31" s="130" t="str">
        <f ca="1">'Hidden-Forecast Calculations'!T26</f>
        <v/>
      </c>
      <c r="Q31" s="124" t="str">
        <f ca="1">'Hidden-Forecast Calculations'!H26</f>
        <v/>
      </c>
      <c r="R31" s="124" t="str">
        <f ca="1">IF('Hidden-Forecast Calculations'!I26=0,"",'Hidden-Forecast Calculations'!I26)</f>
        <v/>
      </c>
      <c r="S31" s="131" t="str">
        <f ca="1">'Hidden-Forecast Calculations'!M26</f>
        <v/>
      </c>
    </row>
    <row r="32" spans="2:19" ht="20.100000000000001" customHeight="1" x14ac:dyDescent="0.2">
      <c r="B32" s="123" t="str">
        <f ca="1">'Hidden-Forecast Calculations'!E27</f>
        <v/>
      </c>
      <c r="C32" s="124" t="str">
        <f ca="1">'Hidden-Forecast Calculations'!J27</f>
        <v/>
      </c>
      <c r="D32" s="125" t="str">
        <f ca="1">IF('7. Demand &amp; Supply Forecast'!B34="","",'7. Demand &amp; Supply Forecast'!C34)</f>
        <v/>
      </c>
      <c r="E32" s="126" t="str">
        <f ca="1">IF('7. Demand &amp; Supply Forecast'!B34="","",'7. Demand &amp; Supply Forecast'!G34)</f>
        <v/>
      </c>
      <c r="F32" s="125" t="str">
        <f ca="1">IF('7. Demand &amp; Supply Forecast'!B34="","",'7. Demand &amp; Supply Forecast'!H34)</f>
        <v/>
      </c>
      <c r="G32" s="127" t="str">
        <f ca="1">IF('7. Demand &amp; Supply Forecast'!B34="","",'7. Demand &amp; Supply Forecast'!I34)</f>
        <v/>
      </c>
      <c r="H32" s="117" t="str">
        <f ca="1">IF('7. Demand &amp; Supply Forecast'!B34="","",'7. Demand &amp; Supply Forecast'!Q34)</f>
        <v/>
      </c>
      <c r="I32" s="116" t="str">
        <f ca="1">IF('7. Demand &amp; Supply Forecast'!B34="","",'7. Demand &amp; Supply Forecast'!R34)</f>
        <v/>
      </c>
      <c r="J32" s="118" t="str">
        <f ca="1">IF('7. Demand &amp; Supply Forecast'!B34="","",'7. Demand &amp; Supply Forecast'!S34)</f>
        <v/>
      </c>
      <c r="K32" s="125" t="str">
        <f ca="1">IF('Hidden-Forecast Calculations'!E27="","",'Hidden-Forecast Calculations'!U27)</f>
        <v/>
      </c>
      <c r="L32" s="125" t="str">
        <f ca="1">IF('Hidden-Forecast Calculations'!E27="","",'Hidden-Forecast Calculations'!V27)</f>
        <v/>
      </c>
      <c r="M32" s="125" t="str">
        <f ca="1">IF('Hidden-Forecast Calculations'!E27="","",'Hidden-Forecast Calculations'!W27)</f>
        <v/>
      </c>
      <c r="N32" s="128" t="str">
        <f ca="1">'Hidden-Forecast Calculations'!R27</f>
        <v/>
      </c>
      <c r="O32" s="129" t="str">
        <f ca="1">'Hidden-Forecast Calculations'!S27</f>
        <v/>
      </c>
      <c r="P32" s="130" t="str">
        <f ca="1">'Hidden-Forecast Calculations'!T27</f>
        <v/>
      </c>
      <c r="Q32" s="124" t="str">
        <f ca="1">'Hidden-Forecast Calculations'!H27</f>
        <v/>
      </c>
      <c r="R32" s="124" t="str">
        <f ca="1">IF('Hidden-Forecast Calculations'!I27=0,"",'Hidden-Forecast Calculations'!I27)</f>
        <v/>
      </c>
      <c r="S32" s="131" t="str">
        <f ca="1">'Hidden-Forecast Calculations'!M27</f>
        <v/>
      </c>
    </row>
    <row r="33" spans="2:19" ht="20.100000000000001" customHeight="1" x14ac:dyDescent="0.2">
      <c r="B33" s="123" t="str">
        <f ca="1">'Hidden-Forecast Calculations'!E28</f>
        <v/>
      </c>
      <c r="C33" s="124" t="str">
        <f ca="1">'Hidden-Forecast Calculations'!J28</f>
        <v/>
      </c>
      <c r="D33" s="125" t="str">
        <f ca="1">IF('7. Demand &amp; Supply Forecast'!B35="","",'7. Demand &amp; Supply Forecast'!C35)</f>
        <v/>
      </c>
      <c r="E33" s="126" t="str">
        <f ca="1">IF('7. Demand &amp; Supply Forecast'!B35="","",'7. Demand &amp; Supply Forecast'!G35)</f>
        <v/>
      </c>
      <c r="F33" s="125" t="str">
        <f ca="1">IF('7. Demand &amp; Supply Forecast'!B35="","",'7. Demand &amp; Supply Forecast'!H35)</f>
        <v/>
      </c>
      <c r="G33" s="127" t="str">
        <f ca="1">IF('7. Demand &amp; Supply Forecast'!B35="","",'7. Demand &amp; Supply Forecast'!I35)</f>
        <v/>
      </c>
      <c r="H33" s="117" t="str">
        <f ca="1">IF('7. Demand &amp; Supply Forecast'!B35="","",'7. Demand &amp; Supply Forecast'!Q35)</f>
        <v/>
      </c>
      <c r="I33" s="116" t="str">
        <f ca="1">IF('7. Demand &amp; Supply Forecast'!B35="","",'7. Demand &amp; Supply Forecast'!R35)</f>
        <v/>
      </c>
      <c r="J33" s="118" t="str">
        <f ca="1">IF('7. Demand &amp; Supply Forecast'!B35="","",'7. Demand &amp; Supply Forecast'!S35)</f>
        <v/>
      </c>
      <c r="K33" s="125" t="str">
        <f ca="1">IF('Hidden-Forecast Calculations'!E28="","",'Hidden-Forecast Calculations'!U28)</f>
        <v/>
      </c>
      <c r="L33" s="125" t="str">
        <f ca="1">IF('Hidden-Forecast Calculations'!E28="","",'Hidden-Forecast Calculations'!V28)</f>
        <v/>
      </c>
      <c r="M33" s="125" t="str">
        <f ca="1">IF('Hidden-Forecast Calculations'!E28="","",'Hidden-Forecast Calculations'!W28)</f>
        <v/>
      </c>
      <c r="N33" s="128" t="str">
        <f ca="1">'Hidden-Forecast Calculations'!R28</f>
        <v/>
      </c>
      <c r="O33" s="129" t="str">
        <f ca="1">'Hidden-Forecast Calculations'!S28</f>
        <v/>
      </c>
      <c r="P33" s="130" t="str">
        <f ca="1">'Hidden-Forecast Calculations'!T28</f>
        <v/>
      </c>
      <c r="Q33" s="124" t="str">
        <f ca="1">'Hidden-Forecast Calculations'!H28</f>
        <v/>
      </c>
      <c r="R33" s="124" t="str">
        <f ca="1">IF('Hidden-Forecast Calculations'!I28=0,"",'Hidden-Forecast Calculations'!I28)</f>
        <v/>
      </c>
      <c r="S33" s="131" t="str">
        <f ca="1">'Hidden-Forecast Calculations'!M28</f>
        <v/>
      </c>
    </row>
    <row r="34" spans="2:19" ht="20.100000000000001" customHeight="1" x14ac:dyDescent="0.2">
      <c r="B34" s="123" t="str">
        <f ca="1">'Hidden-Forecast Calculations'!E29</f>
        <v/>
      </c>
      <c r="C34" s="124" t="str">
        <f ca="1">'Hidden-Forecast Calculations'!J29</f>
        <v/>
      </c>
      <c r="D34" s="125" t="str">
        <f ca="1">IF('7. Demand &amp; Supply Forecast'!B36="","",'7. Demand &amp; Supply Forecast'!C36)</f>
        <v/>
      </c>
      <c r="E34" s="126" t="str">
        <f ca="1">IF('7. Demand &amp; Supply Forecast'!B36="","",'7. Demand &amp; Supply Forecast'!G36)</f>
        <v/>
      </c>
      <c r="F34" s="125" t="str">
        <f ca="1">IF('7. Demand &amp; Supply Forecast'!B36="","",'7. Demand &amp; Supply Forecast'!H36)</f>
        <v/>
      </c>
      <c r="G34" s="127" t="str">
        <f ca="1">IF('7. Demand &amp; Supply Forecast'!B36="","",'7. Demand &amp; Supply Forecast'!I36)</f>
        <v/>
      </c>
      <c r="H34" s="117" t="str">
        <f ca="1">IF('7. Demand &amp; Supply Forecast'!B36="","",'7. Demand &amp; Supply Forecast'!Q36)</f>
        <v/>
      </c>
      <c r="I34" s="116" t="str">
        <f ca="1">IF('7. Demand &amp; Supply Forecast'!B36="","",'7. Demand &amp; Supply Forecast'!R36)</f>
        <v/>
      </c>
      <c r="J34" s="118" t="str">
        <f ca="1">IF('7. Demand &amp; Supply Forecast'!B36="","",'7. Demand &amp; Supply Forecast'!S36)</f>
        <v/>
      </c>
      <c r="K34" s="125" t="str">
        <f ca="1">IF('Hidden-Forecast Calculations'!E29="","",'Hidden-Forecast Calculations'!U29)</f>
        <v/>
      </c>
      <c r="L34" s="125" t="str">
        <f ca="1">IF('Hidden-Forecast Calculations'!E29="","",'Hidden-Forecast Calculations'!V29)</f>
        <v/>
      </c>
      <c r="M34" s="125" t="str">
        <f ca="1">IF('Hidden-Forecast Calculations'!E29="","",'Hidden-Forecast Calculations'!W29)</f>
        <v/>
      </c>
      <c r="N34" s="128" t="str">
        <f ca="1">'Hidden-Forecast Calculations'!R29</f>
        <v/>
      </c>
      <c r="O34" s="129" t="str">
        <f ca="1">'Hidden-Forecast Calculations'!S29</f>
        <v/>
      </c>
      <c r="P34" s="130" t="str">
        <f ca="1">'Hidden-Forecast Calculations'!T29</f>
        <v/>
      </c>
      <c r="Q34" s="124" t="str">
        <f ca="1">'Hidden-Forecast Calculations'!H29</f>
        <v/>
      </c>
      <c r="R34" s="124" t="str">
        <f ca="1">IF('Hidden-Forecast Calculations'!I29=0,"",'Hidden-Forecast Calculations'!I29)</f>
        <v/>
      </c>
      <c r="S34" s="131" t="str">
        <f ca="1">'Hidden-Forecast Calculations'!M29</f>
        <v/>
      </c>
    </row>
    <row r="35" spans="2:19" ht="20.100000000000001" customHeight="1" x14ac:dyDescent="0.2">
      <c r="B35" s="123" t="str">
        <f ca="1">'Hidden-Forecast Calculations'!E30</f>
        <v/>
      </c>
      <c r="C35" s="124" t="str">
        <f ca="1">'Hidden-Forecast Calculations'!J30</f>
        <v/>
      </c>
      <c r="D35" s="125" t="str">
        <f ca="1">IF('7. Demand &amp; Supply Forecast'!B37="","",'7. Demand &amp; Supply Forecast'!C37)</f>
        <v/>
      </c>
      <c r="E35" s="126" t="str">
        <f ca="1">IF('7. Demand &amp; Supply Forecast'!B37="","",'7. Demand &amp; Supply Forecast'!G37)</f>
        <v/>
      </c>
      <c r="F35" s="125" t="str">
        <f ca="1">IF('7. Demand &amp; Supply Forecast'!B37="","",'7. Demand &amp; Supply Forecast'!H37)</f>
        <v/>
      </c>
      <c r="G35" s="127" t="str">
        <f ca="1">IF('7. Demand &amp; Supply Forecast'!B37="","",'7. Demand &amp; Supply Forecast'!I37)</f>
        <v/>
      </c>
      <c r="H35" s="117" t="str">
        <f ca="1">IF('7. Demand &amp; Supply Forecast'!B37="","",'7. Demand &amp; Supply Forecast'!Q37)</f>
        <v/>
      </c>
      <c r="I35" s="116" t="str">
        <f ca="1">IF('7. Demand &amp; Supply Forecast'!B37="","",'7. Demand &amp; Supply Forecast'!R37)</f>
        <v/>
      </c>
      <c r="J35" s="118" t="str">
        <f ca="1">IF('7. Demand &amp; Supply Forecast'!B37="","",'7. Demand &amp; Supply Forecast'!S37)</f>
        <v/>
      </c>
      <c r="K35" s="125" t="str">
        <f ca="1">IF('Hidden-Forecast Calculations'!E30="","",'Hidden-Forecast Calculations'!U30)</f>
        <v/>
      </c>
      <c r="L35" s="125" t="str">
        <f ca="1">IF('Hidden-Forecast Calculations'!E30="","",'Hidden-Forecast Calculations'!V30)</f>
        <v/>
      </c>
      <c r="M35" s="125" t="str">
        <f ca="1">IF('Hidden-Forecast Calculations'!E30="","",'Hidden-Forecast Calculations'!W30)</f>
        <v/>
      </c>
      <c r="N35" s="128" t="str">
        <f ca="1">'Hidden-Forecast Calculations'!R30</f>
        <v/>
      </c>
      <c r="O35" s="129" t="str">
        <f ca="1">'Hidden-Forecast Calculations'!S30</f>
        <v/>
      </c>
      <c r="P35" s="130" t="str">
        <f ca="1">'Hidden-Forecast Calculations'!T30</f>
        <v/>
      </c>
      <c r="Q35" s="124" t="str">
        <f ca="1">'Hidden-Forecast Calculations'!H30</f>
        <v/>
      </c>
      <c r="R35" s="124" t="str">
        <f ca="1">IF('Hidden-Forecast Calculations'!I30=0,"",'Hidden-Forecast Calculations'!I30)</f>
        <v/>
      </c>
      <c r="S35" s="131" t="str">
        <f ca="1">'Hidden-Forecast Calculations'!M30</f>
        <v/>
      </c>
    </row>
    <row r="36" spans="2:19" ht="20.100000000000001" customHeight="1" x14ac:dyDescent="0.2">
      <c r="B36" s="123" t="str">
        <f ca="1">'Hidden-Forecast Calculations'!E31</f>
        <v/>
      </c>
      <c r="C36" s="124" t="str">
        <f ca="1">'Hidden-Forecast Calculations'!J31</f>
        <v/>
      </c>
      <c r="D36" s="125" t="str">
        <f ca="1">IF('7. Demand &amp; Supply Forecast'!B38="","",'7. Demand &amp; Supply Forecast'!C38)</f>
        <v/>
      </c>
      <c r="E36" s="126" t="str">
        <f ca="1">IF('7. Demand &amp; Supply Forecast'!B38="","",'7. Demand &amp; Supply Forecast'!G38)</f>
        <v/>
      </c>
      <c r="F36" s="125" t="str">
        <f ca="1">IF('7. Demand &amp; Supply Forecast'!B38="","",'7. Demand &amp; Supply Forecast'!H38)</f>
        <v/>
      </c>
      <c r="G36" s="127" t="str">
        <f ca="1">IF('7. Demand &amp; Supply Forecast'!B38="","",'7. Demand &amp; Supply Forecast'!I38)</f>
        <v/>
      </c>
      <c r="H36" s="117" t="str">
        <f ca="1">IF('7. Demand &amp; Supply Forecast'!B38="","",'7. Demand &amp; Supply Forecast'!Q38)</f>
        <v/>
      </c>
      <c r="I36" s="116" t="str">
        <f ca="1">IF('7. Demand &amp; Supply Forecast'!B38="","",'7. Demand &amp; Supply Forecast'!R38)</f>
        <v/>
      </c>
      <c r="J36" s="118" t="str">
        <f ca="1">IF('7. Demand &amp; Supply Forecast'!B38="","",'7. Demand &amp; Supply Forecast'!S38)</f>
        <v/>
      </c>
      <c r="K36" s="125" t="str">
        <f ca="1">IF('Hidden-Forecast Calculations'!E31="","",'Hidden-Forecast Calculations'!U31)</f>
        <v/>
      </c>
      <c r="L36" s="125" t="str">
        <f ca="1">IF('Hidden-Forecast Calculations'!E31="","",'Hidden-Forecast Calculations'!V31)</f>
        <v/>
      </c>
      <c r="M36" s="125" t="str">
        <f ca="1">IF('Hidden-Forecast Calculations'!E31="","",'Hidden-Forecast Calculations'!W31)</f>
        <v/>
      </c>
      <c r="N36" s="128" t="str">
        <f ca="1">'Hidden-Forecast Calculations'!R31</f>
        <v/>
      </c>
      <c r="O36" s="129" t="str">
        <f ca="1">'Hidden-Forecast Calculations'!S31</f>
        <v/>
      </c>
      <c r="P36" s="130" t="str">
        <f ca="1">'Hidden-Forecast Calculations'!T31</f>
        <v/>
      </c>
      <c r="Q36" s="124" t="str">
        <f ca="1">'Hidden-Forecast Calculations'!H31</f>
        <v/>
      </c>
      <c r="R36" s="124" t="str">
        <f ca="1">IF('Hidden-Forecast Calculations'!I31=0,"",'Hidden-Forecast Calculations'!I31)</f>
        <v/>
      </c>
      <c r="S36" s="131" t="str">
        <f ca="1">'Hidden-Forecast Calculations'!M31</f>
        <v/>
      </c>
    </row>
    <row r="37" spans="2:19" ht="20.100000000000001" customHeight="1" x14ac:dyDescent="0.2">
      <c r="B37" s="123" t="str">
        <f ca="1">'Hidden-Forecast Calculations'!E32</f>
        <v/>
      </c>
      <c r="C37" s="124" t="str">
        <f ca="1">'Hidden-Forecast Calculations'!J32</f>
        <v/>
      </c>
      <c r="D37" s="125" t="str">
        <f ca="1">IF('7. Demand &amp; Supply Forecast'!B39="","",'7. Demand &amp; Supply Forecast'!C39)</f>
        <v/>
      </c>
      <c r="E37" s="126" t="str">
        <f ca="1">IF('7. Demand &amp; Supply Forecast'!B39="","",'7. Demand &amp; Supply Forecast'!G39)</f>
        <v/>
      </c>
      <c r="F37" s="125" t="str">
        <f ca="1">IF('7. Demand &amp; Supply Forecast'!B39="","",'7. Demand &amp; Supply Forecast'!H39)</f>
        <v/>
      </c>
      <c r="G37" s="127" t="str">
        <f ca="1">IF('7. Demand &amp; Supply Forecast'!B39="","",'7. Demand &amp; Supply Forecast'!I39)</f>
        <v/>
      </c>
      <c r="H37" s="117" t="str">
        <f ca="1">IF('7. Demand &amp; Supply Forecast'!B39="","",'7. Demand &amp; Supply Forecast'!Q39)</f>
        <v/>
      </c>
      <c r="I37" s="116" t="str">
        <f ca="1">IF('7. Demand &amp; Supply Forecast'!B39="","",'7. Demand &amp; Supply Forecast'!R39)</f>
        <v/>
      </c>
      <c r="J37" s="118" t="str">
        <f ca="1">IF('7. Demand &amp; Supply Forecast'!B39="","",'7. Demand &amp; Supply Forecast'!S39)</f>
        <v/>
      </c>
      <c r="K37" s="125" t="str">
        <f ca="1">IF('Hidden-Forecast Calculations'!E32="","",'Hidden-Forecast Calculations'!U32)</f>
        <v/>
      </c>
      <c r="L37" s="125" t="str">
        <f ca="1">IF('Hidden-Forecast Calculations'!E32="","",'Hidden-Forecast Calculations'!V32)</f>
        <v/>
      </c>
      <c r="M37" s="125" t="str">
        <f ca="1">IF('Hidden-Forecast Calculations'!E32="","",'Hidden-Forecast Calculations'!W32)</f>
        <v/>
      </c>
      <c r="N37" s="128" t="str">
        <f ca="1">'Hidden-Forecast Calculations'!R32</f>
        <v/>
      </c>
      <c r="O37" s="129" t="str">
        <f ca="1">'Hidden-Forecast Calculations'!S32</f>
        <v/>
      </c>
      <c r="P37" s="130" t="str">
        <f ca="1">'Hidden-Forecast Calculations'!T32</f>
        <v/>
      </c>
      <c r="Q37" s="124" t="str">
        <f ca="1">'Hidden-Forecast Calculations'!H32</f>
        <v/>
      </c>
      <c r="R37" s="124" t="str">
        <f ca="1">IF('Hidden-Forecast Calculations'!I32=0,"",'Hidden-Forecast Calculations'!I32)</f>
        <v/>
      </c>
      <c r="S37" s="131" t="str">
        <f ca="1">'Hidden-Forecast Calculations'!M32</f>
        <v/>
      </c>
    </row>
    <row r="38" spans="2:19" ht="20.100000000000001" customHeight="1" x14ac:dyDescent="0.2">
      <c r="B38" s="123" t="str">
        <f ca="1">'Hidden-Forecast Calculations'!E33</f>
        <v/>
      </c>
      <c r="C38" s="124" t="str">
        <f ca="1">'Hidden-Forecast Calculations'!J33</f>
        <v/>
      </c>
      <c r="D38" s="125" t="str">
        <f ca="1">IF('7. Demand &amp; Supply Forecast'!B40="","",'7. Demand &amp; Supply Forecast'!C40)</f>
        <v/>
      </c>
      <c r="E38" s="126" t="str">
        <f ca="1">IF('7. Demand &amp; Supply Forecast'!B40="","",'7. Demand &amp; Supply Forecast'!G40)</f>
        <v/>
      </c>
      <c r="F38" s="125" t="str">
        <f ca="1">IF('7. Demand &amp; Supply Forecast'!B40="","",'7. Demand &amp; Supply Forecast'!H40)</f>
        <v/>
      </c>
      <c r="G38" s="127" t="str">
        <f ca="1">IF('7. Demand &amp; Supply Forecast'!B40="","",'7. Demand &amp; Supply Forecast'!I40)</f>
        <v/>
      </c>
      <c r="H38" s="117" t="str">
        <f ca="1">IF('7. Demand &amp; Supply Forecast'!B40="","",'7. Demand &amp; Supply Forecast'!Q40)</f>
        <v/>
      </c>
      <c r="I38" s="116" t="str">
        <f ca="1">IF('7. Demand &amp; Supply Forecast'!B40="","",'7. Demand &amp; Supply Forecast'!R40)</f>
        <v/>
      </c>
      <c r="J38" s="118" t="str">
        <f ca="1">IF('7. Demand &amp; Supply Forecast'!B40="","",'7. Demand &amp; Supply Forecast'!S40)</f>
        <v/>
      </c>
      <c r="K38" s="125" t="str">
        <f ca="1">IF('Hidden-Forecast Calculations'!E33="","",'Hidden-Forecast Calculations'!U33)</f>
        <v/>
      </c>
      <c r="L38" s="125" t="str">
        <f ca="1">IF('Hidden-Forecast Calculations'!E33="","",'Hidden-Forecast Calculations'!V33)</f>
        <v/>
      </c>
      <c r="M38" s="125" t="str">
        <f ca="1">IF('Hidden-Forecast Calculations'!E33="","",'Hidden-Forecast Calculations'!W33)</f>
        <v/>
      </c>
      <c r="N38" s="128" t="str">
        <f ca="1">'Hidden-Forecast Calculations'!R33</f>
        <v/>
      </c>
      <c r="O38" s="129" t="str">
        <f ca="1">'Hidden-Forecast Calculations'!S33</f>
        <v/>
      </c>
      <c r="P38" s="130" t="str">
        <f ca="1">'Hidden-Forecast Calculations'!T33</f>
        <v/>
      </c>
      <c r="Q38" s="124" t="str">
        <f ca="1">'Hidden-Forecast Calculations'!H33</f>
        <v/>
      </c>
      <c r="R38" s="124" t="str">
        <f ca="1">IF('Hidden-Forecast Calculations'!I33=0,"",'Hidden-Forecast Calculations'!I33)</f>
        <v/>
      </c>
      <c r="S38" s="131" t="str">
        <f ca="1">'Hidden-Forecast Calculations'!M33</f>
        <v/>
      </c>
    </row>
    <row r="39" spans="2:19" ht="20.100000000000001" customHeight="1" x14ac:dyDescent="0.2">
      <c r="B39" s="123" t="str">
        <f ca="1">'Hidden-Forecast Calculations'!E34</f>
        <v/>
      </c>
      <c r="C39" s="124" t="str">
        <f ca="1">'Hidden-Forecast Calculations'!J34</f>
        <v/>
      </c>
      <c r="D39" s="125" t="str">
        <f ca="1">IF('7. Demand &amp; Supply Forecast'!B41="","",'7. Demand &amp; Supply Forecast'!C41)</f>
        <v/>
      </c>
      <c r="E39" s="126" t="str">
        <f ca="1">IF('7. Demand &amp; Supply Forecast'!B41="","",'7. Demand &amp; Supply Forecast'!G41)</f>
        <v/>
      </c>
      <c r="F39" s="125" t="str">
        <f ca="1">IF('7. Demand &amp; Supply Forecast'!B41="","",'7. Demand &amp; Supply Forecast'!H41)</f>
        <v/>
      </c>
      <c r="G39" s="127" t="str">
        <f ca="1">IF('7. Demand &amp; Supply Forecast'!B41="","",'7. Demand &amp; Supply Forecast'!I41)</f>
        <v/>
      </c>
      <c r="H39" s="117" t="str">
        <f ca="1">IF('7. Demand &amp; Supply Forecast'!B41="","",'7. Demand &amp; Supply Forecast'!Q41)</f>
        <v/>
      </c>
      <c r="I39" s="116" t="str">
        <f ca="1">IF('7. Demand &amp; Supply Forecast'!B41="","",'7. Demand &amp; Supply Forecast'!R41)</f>
        <v/>
      </c>
      <c r="J39" s="118" t="str">
        <f ca="1">IF('7. Demand &amp; Supply Forecast'!B41="","",'7. Demand &amp; Supply Forecast'!S41)</f>
        <v/>
      </c>
      <c r="K39" s="125" t="str">
        <f ca="1">IF('Hidden-Forecast Calculations'!E34="","",'Hidden-Forecast Calculations'!U34)</f>
        <v/>
      </c>
      <c r="L39" s="125" t="str">
        <f ca="1">IF('Hidden-Forecast Calculations'!E34="","",'Hidden-Forecast Calculations'!V34)</f>
        <v/>
      </c>
      <c r="M39" s="125" t="str">
        <f ca="1">IF('Hidden-Forecast Calculations'!E34="","",'Hidden-Forecast Calculations'!W34)</f>
        <v/>
      </c>
      <c r="N39" s="128" t="str">
        <f ca="1">'Hidden-Forecast Calculations'!R34</f>
        <v/>
      </c>
      <c r="O39" s="129" t="str">
        <f ca="1">'Hidden-Forecast Calculations'!S34</f>
        <v/>
      </c>
      <c r="P39" s="130" t="str">
        <f ca="1">'Hidden-Forecast Calculations'!T34</f>
        <v/>
      </c>
      <c r="Q39" s="124" t="str">
        <f ca="1">'Hidden-Forecast Calculations'!H34</f>
        <v/>
      </c>
      <c r="R39" s="124" t="str">
        <f ca="1">IF('Hidden-Forecast Calculations'!I34=0,"",'Hidden-Forecast Calculations'!I34)</f>
        <v/>
      </c>
      <c r="S39" s="131" t="str">
        <f ca="1">'Hidden-Forecast Calculations'!M34</f>
        <v/>
      </c>
    </row>
    <row r="40" spans="2:19" ht="20.100000000000001" customHeight="1" x14ac:dyDescent="0.2">
      <c r="B40" s="123" t="str">
        <f ca="1">'Hidden-Forecast Calculations'!E35</f>
        <v/>
      </c>
      <c r="C40" s="124" t="str">
        <f ca="1">'Hidden-Forecast Calculations'!J35</f>
        <v/>
      </c>
      <c r="D40" s="125" t="str">
        <f ca="1">IF('7. Demand &amp; Supply Forecast'!B42="","",'7. Demand &amp; Supply Forecast'!C42)</f>
        <v/>
      </c>
      <c r="E40" s="126" t="str">
        <f ca="1">IF('7. Demand &amp; Supply Forecast'!B42="","",'7. Demand &amp; Supply Forecast'!G42)</f>
        <v/>
      </c>
      <c r="F40" s="125" t="str">
        <f ca="1">IF('7. Demand &amp; Supply Forecast'!B42="","",'7. Demand &amp; Supply Forecast'!H42)</f>
        <v/>
      </c>
      <c r="G40" s="127" t="str">
        <f ca="1">IF('7. Demand &amp; Supply Forecast'!B42="","",'7. Demand &amp; Supply Forecast'!I42)</f>
        <v/>
      </c>
      <c r="H40" s="117" t="str">
        <f ca="1">IF('7. Demand &amp; Supply Forecast'!B42="","",'7. Demand &amp; Supply Forecast'!Q42)</f>
        <v/>
      </c>
      <c r="I40" s="116" t="str">
        <f ca="1">IF('7. Demand &amp; Supply Forecast'!B42="","",'7. Demand &amp; Supply Forecast'!R42)</f>
        <v/>
      </c>
      <c r="J40" s="118" t="str">
        <f ca="1">IF('7. Demand &amp; Supply Forecast'!B42="","",'7. Demand &amp; Supply Forecast'!S42)</f>
        <v/>
      </c>
      <c r="K40" s="125" t="str">
        <f ca="1">IF('Hidden-Forecast Calculations'!E35="","",'Hidden-Forecast Calculations'!U35)</f>
        <v/>
      </c>
      <c r="L40" s="125" t="str">
        <f ca="1">IF('Hidden-Forecast Calculations'!E35="","",'Hidden-Forecast Calculations'!V35)</f>
        <v/>
      </c>
      <c r="M40" s="125" t="str">
        <f ca="1">IF('Hidden-Forecast Calculations'!E35="","",'Hidden-Forecast Calculations'!W35)</f>
        <v/>
      </c>
      <c r="N40" s="128" t="str">
        <f ca="1">'Hidden-Forecast Calculations'!R35</f>
        <v/>
      </c>
      <c r="O40" s="129" t="str">
        <f ca="1">'Hidden-Forecast Calculations'!S35</f>
        <v/>
      </c>
      <c r="P40" s="130" t="str">
        <f ca="1">'Hidden-Forecast Calculations'!T35</f>
        <v/>
      </c>
      <c r="Q40" s="124" t="str">
        <f ca="1">'Hidden-Forecast Calculations'!H35</f>
        <v/>
      </c>
      <c r="R40" s="124" t="str">
        <f ca="1">IF('Hidden-Forecast Calculations'!I35=0,"",'Hidden-Forecast Calculations'!I35)</f>
        <v/>
      </c>
      <c r="S40" s="131" t="str">
        <f ca="1">'Hidden-Forecast Calculations'!M35</f>
        <v/>
      </c>
    </row>
    <row r="41" spans="2:19" ht="20.100000000000001" customHeight="1" x14ac:dyDescent="0.2">
      <c r="B41" s="123" t="str">
        <f ca="1">'Hidden-Forecast Calculations'!E36</f>
        <v/>
      </c>
      <c r="C41" s="124" t="str">
        <f ca="1">'Hidden-Forecast Calculations'!J36</f>
        <v/>
      </c>
      <c r="D41" s="125" t="str">
        <f ca="1">IF('7. Demand &amp; Supply Forecast'!B43="","",'7. Demand &amp; Supply Forecast'!C43)</f>
        <v/>
      </c>
      <c r="E41" s="126" t="str">
        <f ca="1">IF('7. Demand &amp; Supply Forecast'!B43="","",'7. Demand &amp; Supply Forecast'!G43)</f>
        <v/>
      </c>
      <c r="F41" s="125" t="str">
        <f ca="1">IF('7. Demand &amp; Supply Forecast'!B43="","",'7. Demand &amp; Supply Forecast'!H43)</f>
        <v/>
      </c>
      <c r="G41" s="127" t="str">
        <f ca="1">IF('7. Demand &amp; Supply Forecast'!B43="","",'7. Demand &amp; Supply Forecast'!I43)</f>
        <v/>
      </c>
      <c r="H41" s="117" t="str">
        <f ca="1">IF('7. Demand &amp; Supply Forecast'!B43="","",'7. Demand &amp; Supply Forecast'!Q43)</f>
        <v/>
      </c>
      <c r="I41" s="116" t="str">
        <f ca="1">IF('7. Demand &amp; Supply Forecast'!B43="","",'7. Demand &amp; Supply Forecast'!R43)</f>
        <v/>
      </c>
      <c r="J41" s="118" t="str">
        <f ca="1">IF('7. Demand &amp; Supply Forecast'!B43="","",'7. Demand &amp; Supply Forecast'!S43)</f>
        <v/>
      </c>
      <c r="K41" s="125" t="str">
        <f ca="1">IF('Hidden-Forecast Calculations'!E36="","",'Hidden-Forecast Calculations'!U36)</f>
        <v/>
      </c>
      <c r="L41" s="125" t="str">
        <f ca="1">IF('Hidden-Forecast Calculations'!E36="","",'Hidden-Forecast Calculations'!V36)</f>
        <v/>
      </c>
      <c r="M41" s="125" t="str">
        <f ca="1">IF('Hidden-Forecast Calculations'!E36="","",'Hidden-Forecast Calculations'!W36)</f>
        <v/>
      </c>
      <c r="N41" s="128" t="str">
        <f ca="1">'Hidden-Forecast Calculations'!R36</f>
        <v/>
      </c>
      <c r="O41" s="129" t="str">
        <f ca="1">'Hidden-Forecast Calculations'!S36</f>
        <v/>
      </c>
      <c r="P41" s="130" t="str">
        <f ca="1">'Hidden-Forecast Calculations'!T36</f>
        <v/>
      </c>
      <c r="Q41" s="124" t="str">
        <f ca="1">'Hidden-Forecast Calculations'!H36</f>
        <v/>
      </c>
      <c r="R41" s="124" t="str">
        <f ca="1">IF('Hidden-Forecast Calculations'!I36=0,"",'Hidden-Forecast Calculations'!I36)</f>
        <v/>
      </c>
      <c r="S41" s="131" t="str">
        <f ca="1">'Hidden-Forecast Calculations'!M36</f>
        <v/>
      </c>
    </row>
    <row r="42" spans="2:19" ht="20.100000000000001" customHeight="1" x14ac:dyDescent="0.2">
      <c r="B42" s="123" t="str">
        <f ca="1">'Hidden-Forecast Calculations'!E37</f>
        <v/>
      </c>
      <c r="C42" s="124" t="str">
        <f ca="1">'Hidden-Forecast Calculations'!J37</f>
        <v/>
      </c>
      <c r="D42" s="125" t="str">
        <f ca="1">IF('7. Demand &amp; Supply Forecast'!B44="","",'7. Demand &amp; Supply Forecast'!C44)</f>
        <v/>
      </c>
      <c r="E42" s="126" t="str">
        <f ca="1">IF('7. Demand &amp; Supply Forecast'!B44="","",'7. Demand &amp; Supply Forecast'!G44)</f>
        <v/>
      </c>
      <c r="F42" s="125" t="str">
        <f ca="1">IF('7. Demand &amp; Supply Forecast'!B44="","",'7. Demand &amp; Supply Forecast'!H44)</f>
        <v/>
      </c>
      <c r="G42" s="127" t="str">
        <f ca="1">IF('7. Demand &amp; Supply Forecast'!B44="","",'7. Demand &amp; Supply Forecast'!I44)</f>
        <v/>
      </c>
      <c r="H42" s="117" t="str">
        <f ca="1">IF('7. Demand &amp; Supply Forecast'!B44="","",'7. Demand &amp; Supply Forecast'!Q44)</f>
        <v/>
      </c>
      <c r="I42" s="116" t="str">
        <f ca="1">IF('7. Demand &amp; Supply Forecast'!B44="","",'7. Demand &amp; Supply Forecast'!R44)</f>
        <v/>
      </c>
      <c r="J42" s="118" t="str">
        <f ca="1">IF('7. Demand &amp; Supply Forecast'!B44="","",'7. Demand &amp; Supply Forecast'!S44)</f>
        <v/>
      </c>
      <c r="K42" s="125" t="str">
        <f ca="1">IF('Hidden-Forecast Calculations'!E37="","",'Hidden-Forecast Calculations'!U37)</f>
        <v/>
      </c>
      <c r="L42" s="125" t="str">
        <f ca="1">IF('Hidden-Forecast Calculations'!E37="","",'Hidden-Forecast Calculations'!V37)</f>
        <v/>
      </c>
      <c r="M42" s="125" t="str">
        <f ca="1">IF('Hidden-Forecast Calculations'!E37="","",'Hidden-Forecast Calculations'!W37)</f>
        <v/>
      </c>
      <c r="N42" s="128" t="str">
        <f ca="1">'Hidden-Forecast Calculations'!R37</f>
        <v/>
      </c>
      <c r="O42" s="129" t="str">
        <f ca="1">'Hidden-Forecast Calculations'!S37</f>
        <v/>
      </c>
      <c r="P42" s="130" t="str">
        <f ca="1">'Hidden-Forecast Calculations'!T37</f>
        <v/>
      </c>
      <c r="Q42" s="124" t="str">
        <f ca="1">'Hidden-Forecast Calculations'!H37</f>
        <v/>
      </c>
      <c r="R42" s="124" t="str">
        <f ca="1">IF('Hidden-Forecast Calculations'!I37=0,"",'Hidden-Forecast Calculations'!I37)</f>
        <v/>
      </c>
      <c r="S42" s="131" t="str">
        <f ca="1">'Hidden-Forecast Calculations'!M37</f>
        <v/>
      </c>
    </row>
    <row r="43" spans="2:19" ht="20.100000000000001" customHeight="1" x14ac:dyDescent="0.2">
      <c r="B43" s="123" t="str">
        <f ca="1">'Hidden-Forecast Calculations'!E38</f>
        <v/>
      </c>
      <c r="C43" s="124" t="str">
        <f ca="1">'Hidden-Forecast Calculations'!J38</f>
        <v/>
      </c>
      <c r="D43" s="125" t="str">
        <f ca="1">IF('7. Demand &amp; Supply Forecast'!B45="","",'7. Demand &amp; Supply Forecast'!C45)</f>
        <v/>
      </c>
      <c r="E43" s="126" t="str">
        <f ca="1">IF('7. Demand &amp; Supply Forecast'!B45="","",'7. Demand &amp; Supply Forecast'!G45)</f>
        <v/>
      </c>
      <c r="F43" s="125" t="str">
        <f ca="1">IF('7. Demand &amp; Supply Forecast'!B45="","",'7. Demand &amp; Supply Forecast'!H45)</f>
        <v/>
      </c>
      <c r="G43" s="127" t="str">
        <f ca="1">IF('7. Demand &amp; Supply Forecast'!B45="","",'7. Demand &amp; Supply Forecast'!I45)</f>
        <v/>
      </c>
      <c r="H43" s="117" t="str">
        <f ca="1">IF('7. Demand &amp; Supply Forecast'!B45="","",'7. Demand &amp; Supply Forecast'!Q45)</f>
        <v/>
      </c>
      <c r="I43" s="116" t="str">
        <f ca="1">IF('7. Demand &amp; Supply Forecast'!B45="","",'7. Demand &amp; Supply Forecast'!R45)</f>
        <v/>
      </c>
      <c r="J43" s="118" t="str">
        <f ca="1">IF('7. Demand &amp; Supply Forecast'!B45="","",'7. Demand &amp; Supply Forecast'!S45)</f>
        <v/>
      </c>
      <c r="K43" s="125" t="str">
        <f ca="1">IF('Hidden-Forecast Calculations'!E38="","",'Hidden-Forecast Calculations'!U38)</f>
        <v/>
      </c>
      <c r="L43" s="125" t="str">
        <f ca="1">IF('Hidden-Forecast Calculations'!E38="","",'Hidden-Forecast Calculations'!V38)</f>
        <v/>
      </c>
      <c r="M43" s="125" t="str">
        <f ca="1">IF('Hidden-Forecast Calculations'!E38="","",'Hidden-Forecast Calculations'!W38)</f>
        <v/>
      </c>
      <c r="N43" s="128" t="str">
        <f ca="1">'Hidden-Forecast Calculations'!R38</f>
        <v/>
      </c>
      <c r="O43" s="129" t="str">
        <f ca="1">'Hidden-Forecast Calculations'!S38</f>
        <v/>
      </c>
      <c r="P43" s="130" t="str">
        <f ca="1">'Hidden-Forecast Calculations'!T38</f>
        <v/>
      </c>
      <c r="Q43" s="124" t="str">
        <f ca="1">'Hidden-Forecast Calculations'!H38</f>
        <v/>
      </c>
      <c r="R43" s="124" t="str">
        <f ca="1">IF('Hidden-Forecast Calculations'!I38=0,"",'Hidden-Forecast Calculations'!I38)</f>
        <v/>
      </c>
      <c r="S43" s="131" t="str">
        <f ca="1">'Hidden-Forecast Calculations'!M38</f>
        <v/>
      </c>
    </row>
    <row r="44" spans="2:19" ht="20.100000000000001" customHeight="1" x14ac:dyDescent="0.2">
      <c r="B44" s="123" t="str">
        <f ca="1">'Hidden-Forecast Calculations'!E39</f>
        <v/>
      </c>
      <c r="C44" s="124" t="str">
        <f ca="1">'Hidden-Forecast Calculations'!J39</f>
        <v/>
      </c>
      <c r="D44" s="125" t="str">
        <f ca="1">IF('7. Demand &amp; Supply Forecast'!B46="","",'7. Demand &amp; Supply Forecast'!C46)</f>
        <v/>
      </c>
      <c r="E44" s="126" t="str">
        <f ca="1">IF('7. Demand &amp; Supply Forecast'!B46="","",'7. Demand &amp; Supply Forecast'!G46)</f>
        <v/>
      </c>
      <c r="F44" s="125" t="str">
        <f ca="1">IF('7. Demand &amp; Supply Forecast'!B46="","",'7. Demand &amp; Supply Forecast'!H46)</f>
        <v/>
      </c>
      <c r="G44" s="127" t="str">
        <f ca="1">IF('7. Demand &amp; Supply Forecast'!B46="","",'7. Demand &amp; Supply Forecast'!I46)</f>
        <v/>
      </c>
      <c r="H44" s="117" t="str">
        <f ca="1">IF('7. Demand &amp; Supply Forecast'!B46="","",'7. Demand &amp; Supply Forecast'!Q46)</f>
        <v/>
      </c>
      <c r="I44" s="116" t="str">
        <f ca="1">IF('7. Demand &amp; Supply Forecast'!B46="","",'7. Demand &amp; Supply Forecast'!R46)</f>
        <v/>
      </c>
      <c r="J44" s="118" t="str">
        <f ca="1">IF('7. Demand &amp; Supply Forecast'!B46="","",'7. Demand &amp; Supply Forecast'!S46)</f>
        <v/>
      </c>
      <c r="K44" s="125" t="str">
        <f ca="1">IF('Hidden-Forecast Calculations'!E39="","",'Hidden-Forecast Calculations'!U39)</f>
        <v/>
      </c>
      <c r="L44" s="125" t="str">
        <f ca="1">IF('Hidden-Forecast Calculations'!E39="","",'Hidden-Forecast Calculations'!V39)</f>
        <v/>
      </c>
      <c r="M44" s="125" t="str">
        <f ca="1">IF('Hidden-Forecast Calculations'!E39="","",'Hidden-Forecast Calculations'!W39)</f>
        <v/>
      </c>
      <c r="N44" s="128" t="str">
        <f ca="1">'Hidden-Forecast Calculations'!R39</f>
        <v/>
      </c>
      <c r="O44" s="129" t="str">
        <f ca="1">'Hidden-Forecast Calculations'!S39</f>
        <v/>
      </c>
      <c r="P44" s="130" t="str">
        <f ca="1">'Hidden-Forecast Calculations'!T39</f>
        <v/>
      </c>
      <c r="Q44" s="124" t="str">
        <f ca="1">'Hidden-Forecast Calculations'!H39</f>
        <v/>
      </c>
      <c r="R44" s="124" t="str">
        <f ca="1">IF('Hidden-Forecast Calculations'!I39=0,"",'Hidden-Forecast Calculations'!I39)</f>
        <v/>
      </c>
      <c r="S44" s="131" t="str">
        <f ca="1">'Hidden-Forecast Calculations'!M39</f>
        <v/>
      </c>
    </row>
    <row r="45" spans="2:19" ht="20.100000000000001" customHeight="1" x14ac:dyDescent="0.2">
      <c r="B45" s="123" t="str">
        <f ca="1">'Hidden-Forecast Calculations'!E40</f>
        <v/>
      </c>
      <c r="C45" s="124" t="str">
        <f ca="1">'Hidden-Forecast Calculations'!J40</f>
        <v/>
      </c>
      <c r="D45" s="125" t="str">
        <f ca="1">IF('7. Demand &amp; Supply Forecast'!B47="","",'7. Demand &amp; Supply Forecast'!C47)</f>
        <v/>
      </c>
      <c r="E45" s="126" t="str">
        <f ca="1">IF('7. Demand &amp; Supply Forecast'!B47="","",'7. Demand &amp; Supply Forecast'!G47)</f>
        <v/>
      </c>
      <c r="F45" s="125" t="str">
        <f ca="1">IF('7. Demand &amp; Supply Forecast'!B47="","",'7. Demand &amp; Supply Forecast'!H47)</f>
        <v/>
      </c>
      <c r="G45" s="127" t="str">
        <f ca="1">IF('7. Demand &amp; Supply Forecast'!B47="","",'7. Demand &amp; Supply Forecast'!I47)</f>
        <v/>
      </c>
      <c r="H45" s="117" t="str">
        <f ca="1">IF('7. Demand &amp; Supply Forecast'!B47="","",'7. Demand &amp; Supply Forecast'!Q47)</f>
        <v/>
      </c>
      <c r="I45" s="116" t="str">
        <f ca="1">IF('7. Demand &amp; Supply Forecast'!B47="","",'7. Demand &amp; Supply Forecast'!R47)</f>
        <v/>
      </c>
      <c r="J45" s="118" t="str">
        <f ca="1">IF('7. Demand &amp; Supply Forecast'!B47="","",'7. Demand &amp; Supply Forecast'!S47)</f>
        <v/>
      </c>
      <c r="K45" s="125" t="str">
        <f ca="1">IF('Hidden-Forecast Calculations'!E40="","",'Hidden-Forecast Calculations'!U40)</f>
        <v/>
      </c>
      <c r="L45" s="125" t="str">
        <f ca="1">IF('Hidden-Forecast Calculations'!E40="","",'Hidden-Forecast Calculations'!V40)</f>
        <v/>
      </c>
      <c r="M45" s="125" t="str">
        <f ca="1">IF('Hidden-Forecast Calculations'!E40="","",'Hidden-Forecast Calculations'!W40)</f>
        <v/>
      </c>
      <c r="N45" s="128" t="str">
        <f ca="1">'Hidden-Forecast Calculations'!R40</f>
        <v/>
      </c>
      <c r="O45" s="129" t="str">
        <f ca="1">'Hidden-Forecast Calculations'!S40</f>
        <v/>
      </c>
      <c r="P45" s="130" t="str">
        <f ca="1">'Hidden-Forecast Calculations'!T40</f>
        <v/>
      </c>
      <c r="Q45" s="124" t="str">
        <f ca="1">'Hidden-Forecast Calculations'!H40</f>
        <v/>
      </c>
      <c r="R45" s="124" t="str">
        <f ca="1">IF('Hidden-Forecast Calculations'!I40=0,"",'Hidden-Forecast Calculations'!I40)</f>
        <v/>
      </c>
      <c r="S45" s="131" t="str">
        <f ca="1">'Hidden-Forecast Calculations'!M40</f>
        <v/>
      </c>
    </row>
    <row r="46" spans="2:19" ht="20.100000000000001" customHeight="1" x14ac:dyDescent="0.2">
      <c r="B46" s="123" t="str">
        <f ca="1">'Hidden-Forecast Calculations'!E41</f>
        <v/>
      </c>
      <c r="C46" s="124" t="str">
        <f ca="1">'Hidden-Forecast Calculations'!J41</f>
        <v/>
      </c>
      <c r="D46" s="125" t="str">
        <f ca="1">IF('7. Demand &amp; Supply Forecast'!B48="","",'7. Demand &amp; Supply Forecast'!C48)</f>
        <v/>
      </c>
      <c r="E46" s="126" t="str">
        <f ca="1">IF('7. Demand &amp; Supply Forecast'!B48="","",'7. Demand &amp; Supply Forecast'!G48)</f>
        <v/>
      </c>
      <c r="F46" s="125" t="str">
        <f ca="1">IF('7. Demand &amp; Supply Forecast'!B48="","",'7. Demand &amp; Supply Forecast'!H48)</f>
        <v/>
      </c>
      <c r="G46" s="127" t="str">
        <f ca="1">IF('7. Demand &amp; Supply Forecast'!B48="","",'7. Demand &amp; Supply Forecast'!I48)</f>
        <v/>
      </c>
      <c r="H46" s="117" t="str">
        <f ca="1">IF('7. Demand &amp; Supply Forecast'!B48="","",'7. Demand &amp; Supply Forecast'!Q48)</f>
        <v/>
      </c>
      <c r="I46" s="116" t="str">
        <f ca="1">IF('7. Demand &amp; Supply Forecast'!B48="","",'7. Demand &amp; Supply Forecast'!R48)</f>
        <v/>
      </c>
      <c r="J46" s="118" t="str">
        <f ca="1">IF('7. Demand &amp; Supply Forecast'!B48="","",'7. Demand &amp; Supply Forecast'!S48)</f>
        <v/>
      </c>
      <c r="K46" s="125" t="str">
        <f ca="1">IF('Hidden-Forecast Calculations'!E41="","",'Hidden-Forecast Calculations'!U41)</f>
        <v/>
      </c>
      <c r="L46" s="125" t="str">
        <f ca="1">IF('Hidden-Forecast Calculations'!E41="","",'Hidden-Forecast Calculations'!V41)</f>
        <v/>
      </c>
      <c r="M46" s="125" t="str">
        <f ca="1">IF('Hidden-Forecast Calculations'!E41="","",'Hidden-Forecast Calculations'!W41)</f>
        <v/>
      </c>
      <c r="N46" s="128" t="str">
        <f ca="1">'Hidden-Forecast Calculations'!R41</f>
        <v/>
      </c>
      <c r="O46" s="129" t="str">
        <f ca="1">'Hidden-Forecast Calculations'!S41</f>
        <v/>
      </c>
      <c r="P46" s="130" t="str">
        <f ca="1">'Hidden-Forecast Calculations'!T41</f>
        <v/>
      </c>
      <c r="Q46" s="124" t="str">
        <f ca="1">'Hidden-Forecast Calculations'!H41</f>
        <v/>
      </c>
      <c r="R46" s="124" t="str">
        <f ca="1">IF('Hidden-Forecast Calculations'!I41=0,"",'Hidden-Forecast Calculations'!I41)</f>
        <v/>
      </c>
      <c r="S46" s="131" t="str">
        <f ca="1">'Hidden-Forecast Calculations'!M41</f>
        <v/>
      </c>
    </row>
    <row r="47" spans="2:19" ht="20.100000000000001" customHeight="1" x14ac:dyDescent="0.2">
      <c r="B47" s="123" t="str">
        <f ca="1">'Hidden-Forecast Calculations'!E42</f>
        <v/>
      </c>
      <c r="C47" s="124" t="str">
        <f ca="1">'Hidden-Forecast Calculations'!J42</f>
        <v/>
      </c>
      <c r="D47" s="125" t="str">
        <f ca="1">IF('7. Demand &amp; Supply Forecast'!B49="","",'7. Demand &amp; Supply Forecast'!C49)</f>
        <v/>
      </c>
      <c r="E47" s="126" t="str">
        <f ca="1">IF('7. Demand &amp; Supply Forecast'!B49="","",'7. Demand &amp; Supply Forecast'!G49)</f>
        <v/>
      </c>
      <c r="F47" s="125" t="str">
        <f ca="1">IF('7. Demand &amp; Supply Forecast'!B49="","",'7. Demand &amp; Supply Forecast'!H49)</f>
        <v/>
      </c>
      <c r="G47" s="127" t="str">
        <f ca="1">IF('7. Demand &amp; Supply Forecast'!B49="","",'7. Demand &amp; Supply Forecast'!I49)</f>
        <v/>
      </c>
      <c r="H47" s="117" t="str">
        <f ca="1">IF('7. Demand &amp; Supply Forecast'!B49="","",'7. Demand &amp; Supply Forecast'!Q49)</f>
        <v/>
      </c>
      <c r="I47" s="116" t="str">
        <f ca="1">IF('7. Demand &amp; Supply Forecast'!B49="","",'7. Demand &amp; Supply Forecast'!R49)</f>
        <v/>
      </c>
      <c r="J47" s="118" t="str">
        <f ca="1">IF('7. Demand &amp; Supply Forecast'!B49="","",'7. Demand &amp; Supply Forecast'!S49)</f>
        <v/>
      </c>
      <c r="K47" s="125" t="str">
        <f ca="1">IF('Hidden-Forecast Calculations'!E42="","",'Hidden-Forecast Calculations'!U42)</f>
        <v/>
      </c>
      <c r="L47" s="125" t="str">
        <f ca="1">IF('Hidden-Forecast Calculations'!E42="","",'Hidden-Forecast Calculations'!V42)</f>
        <v/>
      </c>
      <c r="M47" s="125" t="str">
        <f ca="1">IF('Hidden-Forecast Calculations'!E42="","",'Hidden-Forecast Calculations'!W42)</f>
        <v/>
      </c>
      <c r="N47" s="128" t="str">
        <f ca="1">'Hidden-Forecast Calculations'!R42</f>
        <v/>
      </c>
      <c r="O47" s="129" t="str">
        <f ca="1">'Hidden-Forecast Calculations'!S42</f>
        <v/>
      </c>
      <c r="P47" s="130" t="str">
        <f ca="1">'Hidden-Forecast Calculations'!T42</f>
        <v/>
      </c>
      <c r="Q47" s="124" t="str">
        <f ca="1">'Hidden-Forecast Calculations'!H42</f>
        <v/>
      </c>
      <c r="R47" s="124" t="str">
        <f ca="1">IF('Hidden-Forecast Calculations'!I42=0,"",'Hidden-Forecast Calculations'!I42)</f>
        <v/>
      </c>
      <c r="S47" s="131" t="str">
        <f ca="1">'Hidden-Forecast Calculations'!M42</f>
        <v/>
      </c>
    </row>
    <row r="48" spans="2:19" ht="20.100000000000001" customHeight="1" x14ac:dyDescent="0.2">
      <c r="B48" s="123" t="str">
        <f ca="1">'Hidden-Forecast Calculations'!E43</f>
        <v/>
      </c>
      <c r="C48" s="124" t="str">
        <f ca="1">'Hidden-Forecast Calculations'!J43</f>
        <v/>
      </c>
      <c r="D48" s="125" t="str">
        <f ca="1">IF('7. Demand &amp; Supply Forecast'!B50="","",'7. Demand &amp; Supply Forecast'!C50)</f>
        <v/>
      </c>
      <c r="E48" s="126" t="str">
        <f ca="1">IF('7. Demand &amp; Supply Forecast'!B50="","",'7. Demand &amp; Supply Forecast'!G50)</f>
        <v/>
      </c>
      <c r="F48" s="125" t="str">
        <f ca="1">IF('7. Demand &amp; Supply Forecast'!B50="","",'7. Demand &amp; Supply Forecast'!H50)</f>
        <v/>
      </c>
      <c r="G48" s="127" t="str">
        <f ca="1">IF('7. Demand &amp; Supply Forecast'!B50="","",'7. Demand &amp; Supply Forecast'!I50)</f>
        <v/>
      </c>
      <c r="H48" s="117" t="str">
        <f ca="1">IF('7. Demand &amp; Supply Forecast'!B50="","",'7. Demand &amp; Supply Forecast'!Q50)</f>
        <v/>
      </c>
      <c r="I48" s="116" t="str">
        <f ca="1">IF('7. Demand &amp; Supply Forecast'!B50="","",'7. Demand &amp; Supply Forecast'!R50)</f>
        <v/>
      </c>
      <c r="J48" s="118" t="str">
        <f ca="1">IF('7. Demand &amp; Supply Forecast'!B50="","",'7. Demand &amp; Supply Forecast'!S50)</f>
        <v/>
      </c>
      <c r="K48" s="125" t="str">
        <f ca="1">IF('Hidden-Forecast Calculations'!E43="","",'Hidden-Forecast Calculations'!U43)</f>
        <v/>
      </c>
      <c r="L48" s="125" t="str">
        <f ca="1">IF('Hidden-Forecast Calculations'!E43="","",'Hidden-Forecast Calculations'!V43)</f>
        <v/>
      </c>
      <c r="M48" s="125" t="str">
        <f ca="1">IF('Hidden-Forecast Calculations'!E43="","",'Hidden-Forecast Calculations'!W43)</f>
        <v/>
      </c>
      <c r="N48" s="128" t="str">
        <f ca="1">'Hidden-Forecast Calculations'!R43</f>
        <v/>
      </c>
      <c r="O48" s="129" t="str">
        <f ca="1">'Hidden-Forecast Calculations'!S43</f>
        <v/>
      </c>
      <c r="P48" s="130" t="str">
        <f ca="1">'Hidden-Forecast Calculations'!T43</f>
        <v/>
      </c>
      <c r="Q48" s="124" t="str">
        <f ca="1">'Hidden-Forecast Calculations'!H43</f>
        <v/>
      </c>
      <c r="R48" s="124" t="str">
        <f ca="1">IF('Hidden-Forecast Calculations'!I43=0,"",'Hidden-Forecast Calculations'!I43)</f>
        <v/>
      </c>
      <c r="S48" s="131" t="str">
        <f ca="1">'Hidden-Forecast Calculations'!M43</f>
        <v/>
      </c>
    </row>
    <row r="49" spans="2:19" ht="20.100000000000001" customHeight="1" x14ac:dyDescent="0.2">
      <c r="B49" s="123" t="str">
        <f ca="1">'Hidden-Forecast Calculations'!E44</f>
        <v/>
      </c>
      <c r="C49" s="124" t="str">
        <f ca="1">'Hidden-Forecast Calculations'!J44</f>
        <v/>
      </c>
      <c r="D49" s="125" t="str">
        <f ca="1">IF('7. Demand &amp; Supply Forecast'!B51="","",'7. Demand &amp; Supply Forecast'!C51)</f>
        <v/>
      </c>
      <c r="E49" s="126" t="str">
        <f ca="1">IF('7. Demand &amp; Supply Forecast'!B51="","",'7. Demand &amp; Supply Forecast'!G51)</f>
        <v/>
      </c>
      <c r="F49" s="125" t="str">
        <f ca="1">IF('7. Demand &amp; Supply Forecast'!B51="","",'7. Demand &amp; Supply Forecast'!H51)</f>
        <v/>
      </c>
      <c r="G49" s="127" t="str">
        <f ca="1">IF('7. Demand &amp; Supply Forecast'!B51="","",'7. Demand &amp; Supply Forecast'!I51)</f>
        <v/>
      </c>
      <c r="H49" s="117" t="str">
        <f ca="1">IF('7. Demand &amp; Supply Forecast'!B51="","",'7. Demand &amp; Supply Forecast'!Q51)</f>
        <v/>
      </c>
      <c r="I49" s="116" t="str">
        <f ca="1">IF('7. Demand &amp; Supply Forecast'!B51="","",'7. Demand &amp; Supply Forecast'!R51)</f>
        <v/>
      </c>
      <c r="J49" s="118" t="str">
        <f ca="1">IF('7. Demand &amp; Supply Forecast'!B51="","",'7. Demand &amp; Supply Forecast'!S51)</f>
        <v/>
      </c>
      <c r="K49" s="125" t="str">
        <f ca="1">IF('Hidden-Forecast Calculations'!E44="","",'Hidden-Forecast Calculations'!U44)</f>
        <v/>
      </c>
      <c r="L49" s="125" t="str">
        <f ca="1">IF('Hidden-Forecast Calculations'!E44="","",'Hidden-Forecast Calculations'!V44)</f>
        <v/>
      </c>
      <c r="M49" s="125" t="str">
        <f ca="1">IF('Hidden-Forecast Calculations'!E44="","",'Hidden-Forecast Calculations'!W44)</f>
        <v/>
      </c>
      <c r="N49" s="128" t="str">
        <f ca="1">'Hidden-Forecast Calculations'!R44</f>
        <v/>
      </c>
      <c r="O49" s="129" t="str">
        <f ca="1">'Hidden-Forecast Calculations'!S44</f>
        <v/>
      </c>
      <c r="P49" s="130" t="str">
        <f ca="1">'Hidden-Forecast Calculations'!T44</f>
        <v/>
      </c>
      <c r="Q49" s="124" t="str">
        <f ca="1">'Hidden-Forecast Calculations'!H44</f>
        <v/>
      </c>
      <c r="R49" s="124" t="str">
        <f ca="1">IF('Hidden-Forecast Calculations'!I44=0,"",'Hidden-Forecast Calculations'!I44)</f>
        <v/>
      </c>
      <c r="S49" s="131" t="str">
        <f ca="1">'Hidden-Forecast Calculations'!M44</f>
        <v/>
      </c>
    </row>
    <row r="50" spans="2:19" ht="20.100000000000001" customHeight="1" x14ac:dyDescent="0.2">
      <c r="B50" s="123" t="str">
        <f ca="1">'Hidden-Forecast Calculations'!E45</f>
        <v/>
      </c>
      <c r="C50" s="124" t="str">
        <f ca="1">'Hidden-Forecast Calculations'!J45</f>
        <v/>
      </c>
      <c r="D50" s="125" t="str">
        <f ca="1">IF('7. Demand &amp; Supply Forecast'!B52="","",'7. Demand &amp; Supply Forecast'!C52)</f>
        <v/>
      </c>
      <c r="E50" s="126" t="str">
        <f ca="1">IF('7. Demand &amp; Supply Forecast'!B52="","",'7. Demand &amp; Supply Forecast'!G52)</f>
        <v/>
      </c>
      <c r="F50" s="125" t="str">
        <f ca="1">IF('7. Demand &amp; Supply Forecast'!B52="","",'7. Demand &amp; Supply Forecast'!H52)</f>
        <v/>
      </c>
      <c r="G50" s="127" t="str">
        <f ca="1">IF('7. Demand &amp; Supply Forecast'!B52="","",'7. Demand &amp; Supply Forecast'!I52)</f>
        <v/>
      </c>
      <c r="H50" s="117" t="str">
        <f ca="1">IF('7. Demand &amp; Supply Forecast'!B52="","",'7. Demand &amp; Supply Forecast'!Q52)</f>
        <v/>
      </c>
      <c r="I50" s="116" t="str">
        <f ca="1">IF('7. Demand &amp; Supply Forecast'!B52="","",'7. Demand &amp; Supply Forecast'!R52)</f>
        <v/>
      </c>
      <c r="J50" s="118" t="str">
        <f ca="1">IF('7. Demand &amp; Supply Forecast'!B52="","",'7. Demand &amp; Supply Forecast'!S52)</f>
        <v/>
      </c>
      <c r="K50" s="125" t="str">
        <f ca="1">IF('Hidden-Forecast Calculations'!E45="","",'Hidden-Forecast Calculations'!U45)</f>
        <v/>
      </c>
      <c r="L50" s="125" t="str">
        <f ca="1">IF('Hidden-Forecast Calculations'!E45="","",'Hidden-Forecast Calculations'!V45)</f>
        <v/>
      </c>
      <c r="M50" s="125" t="str">
        <f ca="1">IF('Hidden-Forecast Calculations'!E45="","",'Hidden-Forecast Calculations'!W45)</f>
        <v/>
      </c>
      <c r="N50" s="128" t="str">
        <f ca="1">'Hidden-Forecast Calculations'!R45</f>
        <v/>
      </c>
      <c r="O50" s="129" t="str">
        <f ca="1">'Hidden-Forecast Calculations'!S45</f>
        <v/>
      </c>
      <c r="P50" s="130" t="str">
        <f ca="1">'Hidden-Forecast Calculations'!T45</f>
        <v/>
      </c>
      <c r="Q50" s="124" t="str">
        <f ca="1">'Hidden-Forecast Calculations'!H45</f>
        <v/>
      </c>
      <c r="R50" s="124" t="str">
        <f ca="1">IF('Hidden-Forecast Calculations'!I45=0,"",'Hidden-Forecast Calculations'!I45)</f>
        <v/>
      </c>
      <c r="S50" s="131" t="str">
        <f ca="1">'Hidden-Forecast Calculations'!M45</f>
        <v/>
      </c>
    </row>
    <row r="51" spans="2:19" ht="20.100000000000001" customHeight="1" x14ac:dyDescent="0.2">
      <c r="B51" s="123" t="str">
        <f ca="1">'Hidden-Forecast Calculations'!E46</f>
        <v/>
      </c>
      <c r="C51" s="124" t="str">
        <f ca="1">'Hidden-Forecast Calculations'!J46</f>
        <v/>
      </c>
      <c r="D51" s="125" t="str">
        <f ca="1">IF('7. Demand &amp; Supply Forecast'!B53="","",'7. Demand &amp; Supply Forecast'!C53)</f>
        <v/>
      </c>
      <c r="E51" s="126" t="str">
        <f ca="1">IF('7. Demand &amp; Supply Forecast'!B53="","",'7. Demand &amp; Supply Forecast'!G53)</f>
        <v/>
      </c>
      <c r="F51" s="125" t="str">
        <f ca="1">IF('7. Demand &amp; Supply Forecast'!B53="","",'7. Demand &amp; Supply Forecast'!H53)</f>
        <v/>
      </c>
      <c r="G51" s="127" t="str">
        <f ca="1">IF('7. Demand &amp; Supply Forecast'!B53="","",'7. Demand &amp; Supply Forecast'!I53)</f>
        <v/>
      </c>
      <c r="H51" s="117" t="str">
        <f ca="1">IF('7. Demand &amp; Supply Forecast'!B53="","",'7. Demand &amp; Supply Forecast'!Q53)</f>
        <v/>
      </c>
      <c r="I51" s="116" t="str">
        <f ca="1">IF('7. Demand &amp; Supply Forecast'!B53="","",'7. Demand &amp; Supply Forecast'!R53)</f>
        <v/>
      </c>
      <c r="J51" s="118" t="str">
        <f ca="1">IF('7. Demand &amp; Supply Forecast'!B53="","",'7. Demand &amp; Supply Forecast'!S53)</f>
        <v/>
      </c>
      <c r="K51" s="125" t="str">
        <f ca="1">IF('Hidden-Forecast Calculations'!E46="","",'Hidden-Forecast Calculations'!U46)</f>
        <v/>
      </c>
      <c r="L51" s="125" t="str">
        <f ca="1">IF('Hidden-Forecast Calculations'!E46="","",'Hidden-Forecast Calculations'!V46)</f>
        <v/>
      </c>
      <c r="M51" s="125" t="str">
        <f ca="1">IF('Hidden-Forecast Calculations'!E46="","",'Hidden-Forecast Calculations'!W46)</f>
        <v/>
      </c>
      <c r="N51" s="128" t="str">
        <f ca="1">'Hidden-Forecast Calculations'!R46</f>
        <v/>
      </c>
      <c r="O51" s="129" t="str">
        <f ca="1">'Hidden-Forecast Calculations'!S46</f>
        <v/>
      </c>
      <c r="P51" s="130" t="str">
        <f ca="1">'Hidden-Forecast Calculations'!T46</f>
        <v/>
      </c>
      <c r="Q51" s="124" t="str">
        <f ca="1">'Hidden-Forecast Calculations'!H46</f>
        <v/>
      </c>
      <c r="R51" s="124" t="str">
        <f ca="1">IF('Hidden-Forecast Calculations'!I46=0,"",'Hidden-Forecast Calculations'!I46)</f>
        <v/>
      </c>
      <c r="S51" s="131" t="str">
        <f ca="1">'Hidden-Forecast Calculations'!M46</f>
        <v/>
      </c>
    </row>
    <row r="52" spans="2:19" ht="20.100000000000001" customHeight="1" x14ac:dyDescent="0.2">
      <c r="B52" s="123" t="str">
        <f ca="1">'Hidden-Forecast Calculations'!E47</f>
        <v/>
      </c>
      <c r="C52" s="124" t="str">
        <f ca="1">'Hidden-Forecast Calculations'!J47</f>
        <v/>
      </c>
      <c r="D52" s="125" t="str">
        <f ca="1">IF('7. Demand &amp; Supply Forecast'!B54="","",'7. Demand &amp; Supply Forecast'!C54)</f>
        <v/>
      </c>
      <c r="E52" s="126" t="str">
        <f ca="1">IF('7. Demand &amp; Supply Forecast'!B54="","",'7. Demand &amp; Supply Forecast'!G54)</f>
        <v/>
      </c>
      <c r="F52" s="125" t="str">
        <f ca="1">IF('7. Demand &amp; Supply Forecast'!B54="","",'7. Demand &amp; Supply Forecast'!H54)</f>
        <v/>
      </c>
      <c r="G52" s="127" t="str">
        <f ca="1">IF('7. Demand &amp; Supply Forecast'!B54="","",'7. Demand &amp; Supply Forecast'!I54)</f>
        <v/>
      </c>
      <c r="H52" s="117" t="str">
        <f ca="1">IF('7. Demand &amp; Supply Forecast'!B54="","",'7. Demand &amp; Supply Forecast'!Q54)</f>
        <v/>
      </c>
      <c r="I52" s="116" t="str">
        <f ca="1">IF('7. Demand &amp; Supply Forecast'!B54="","",'7. Demand &amp; Supply Forecast'!R54)</f>
        <v/>
      </c>
      <c r="J52" s="118" t="str">
        <f ca="1">IF('7. Demand &amp; Supply Forecast'!B54="","",'7. Demand &amp; Supply Forecast'!S54)</f>
        <v/>
      </c>
      <c r="K52" s="125" t="str">
        <f ca="1">IF('Hidden-Forecast Calculations'!E47="","",'Hidden-Forecast Calculations'!U47)</f>
        <v/>
      </c>
      <c r="L52" s="125" t="str">
        <f ca="1">IF('Hidden-Forecast Calculations'!E47="","",'Hidden-Forecast Calculations'!V47)</f>
        <v/>
      </c>
      <c r="M52" s="125" t="str">
        <f ca="1">IF('Hidden-Forecast Calculations'!E47="","",'Hidden-Forecast Calculations'!W47)</f>
        <v/>
      </c>
      <c r="N52" s="128" t="str">
        <f ca="1">'Hidden-Forecast Calculations'!R47</f>
        <v/>
      </c>
      <c r="O52" s="129" t="str">
        <f ca="1">'Hidden-Forecast Calculations'!S47</f>
        <v/>
      </c>
      <c r="P52" s="130" t="str">
        <f ca="1">'Hidden-Forecast Calculations'!T47</f>
        <v/>
      </c>
      <c r="Q52" s="124" t="str">
        <f ca="1">'Hidden-Forecast Calculations'!H47</f>
        <v/>
      </c>
      <c r="R52" s="124" t="str">
        <f ca="1">IF('Hidden-Forecast Calculations'!I47=0,"",'Hidden-Forecast Calculations'!I47)</f>
        <v/>
      </c>
      <c r="S52" s="131" t="str">
        <f ca="1">'Hidden-Forecast Calculations'!M47</f>
        <v/>
      </c>
    </row>
    <row r="53" spans="2:19" ht="20.100000000000001" customHeight="1" x14ac:dyDescent="0.2">
      <c r="B53" s="123" t="str">
        <f ca="1">'Hidden-Forecast Calculations'!E48</f>
        <v/>
      </c>
      <c r="C53" s="124" t="str">
        <f ca="1">'Hidden-Forecast Calculations'!J48</f>
        <v/>
      </c>
      <c r="D53" s="125" t="str">
        <f ca="1">IF('7. Demand &amp; Supply Forecast'!B55="","",'7. Demand &amp; Supply Forecast'!C55)</f>
        <v/>
      </c>
      <c r="E53" s="126" t="str">
        <f ca="1">IF('7. Demand &amp; Supply Forecast'!B55="","",'7. Demand &amp; Supply Forecast'!G55)</f>
        <v/>
      </c>
      <c r="F53" s="125" t="str">
        <f ca="1">IF('7. Demand &amp; Supply Forecast'!B55="","",'7. Demand &amp; Supply Forecast'!H55)</f>
        <v/>
      </c>
      <c r="G53" s="127" t="str">
        <f ca="1">IF('7. Demand &amp; Supply Forecast'!B55="","",'7. Demand &amp; Supply Forecast'!I55)</f>
        <v/>
      </c>
      <c r="H53" s="117" t="str">
        <f ca="1">IF('7. Demand &amp; Supply Forecast'!B55="","",'7. Demand &amp; Supply Forecast'!Q55)</f>
        <v/>
      </c>
      <c r="I53" s="116" t="str">
        <f ca="1">IF('7. Demand &amp; Supply Forecast'!B55="","",'7. Demand &amp; Supply Forecast'!R55)</f>
        <v/>
      </c>
      <c r="J53" s="118" t="str">
        <f ca="1">IF('7. Demand &amp; Supply Forecast'!B55="","",'7. Demand &amp; Supply Forecast'!S55)</f>
        <v/>
      </c>
      <c r="K53" s="125" t="str">
        <f ca="1">IF('Hidden-Forecast Calculations'!E48="","",'Hidden-Forecast Calculations'!U48)</f>
        <v/>
      </c>
      <c r="L53" s="125" t="str">
        <f ca="1">IF('Hidden-Forecast Calculations'!E48="","",'Hidden-Forecast Calculations'!V48)</f>
        <v/>
      </c>
      <c r="M53" s="125" t="str">
        <f ca="1">IF('Hidden-Forecast Calculations'!E48="","",'Hidden-Forecast Calculations'!W48)</f>
        <v/>
      </c>
      <c r="N53" s="128" t="str">
        <f ca="1">'Hidden-Forecast Calculations'!R48</f>
        <v/>
      </c>
      <c r="O53" s="129" t="str">
        <f ca="1">'Hidden-Forecast Calculations'!S48</f>
        <v/>
      </c>
      <c r="P53" s="130" t="str">
        <f ca="1">'Hidden-Forecast Calculations'!T48</f>
        <v/>
      </c>
      <c r="Q53" s="124" t="str">
        <f ca="1">'Hidden-Forecast Calculations'!H48</f>
        <v/>
      </c>
      <c r="R53" s="124" t="str">
        <f ca="1">IF('Hidden-Forecast Calculations'!I48=0,"",'Hidden-Forecast Calculations'!I48)</f>
        <v/>
      </c>
      <c r="S53" s="131" t="str">
        <f ca="1">'Hidden-Forecast Calculations'!M48</f>
        <v/>
      </c>
    </row>
    <row r="54" spans="2:19" ht="20.100000000000001" customHeight="1" x14ac:dyDescent="0.2">
      <c r="B54" s="123" t="str">
        <f ca="1">'Hidden-Forecast Calculations'!E49</f>
        <v/>
      </c>
      <c r="C54" s="124" t="str">
        <f ca="1">'Hidden-Forecast Calculations'!J49</f>
        <v/>
      </c>
      <c r="D54" s="125" t="str">
        <f ca="1">IF('7. Demand &amp; Supply Forecast'!B56="","",'7. Demand &amp; Supply Forecast'!C56)</f>
        <v/>
      </c>
      <c r="E54" s="126" t="str">
        <f ca="1">IF('7. Demand &amp; Supply Forecast'!B56="","",'7. Demand &amp; Supply Forecast'!G56)</f>
        <v/>
      </c>
      <c r="F54" s="125" t="str">
        <f ca="1">IF('7. Demand &amp; Supply Forecast'!B56="","",'7. Demand &amp; Supply Forecast'!H56)</f>
        <v/>
      </c>
      <c r="G54" s="127" t="str">
        <f ca="1">IF('7. Demand &amp; Supply Forecast'!B56="","",'7. Demand &amp; Supply Forecast'!I56)</f>
        <v/>
      </c>
      <c r="H54" s="117" t="str">
        <f ca="1">IF('7. Demand &amp; Supply Forecast'!B56="","",'7. Demand &amp; Supply Forecast'!Q56)</f>
        <v/>
      </c>
      <c r="I54" s="116" t="str">
        <f ca="1">IF('7. Demand &amp; Supply Forecast'!B56="","",'7. Demand &amp; Supply Forecast'!R56)</f>
        <v/>
      </c>
      <c r="J54" s="118" t="str">
        <f ca="1">IF('7. Demand &amp; Supply Forecast'!B56="","",'7. Demand &amp; Supply Forecast'!S56)</f>
        <v/>
      </c>
      <c r="K54" s="125" t="str">
        <f ca="1">IF('Hidden-Forecast Calculations'!E49="","",'Hidden-Forecast Calculations'!U49)</f>
        <v/>
      </c>
      <c r="L54" s="125" t="str">
        <f ca="1">IF('Hidden-Forecast Calculations'!E49="","",'Hidden-Forecast Calculations'!V49)</f>
        <v/>
      </c>
      <c r="M54" s="125" t="str">
        <f ca="1">IF('Hidden-Forecast Calculations'!E49="","",'Hidden-Forecast Calculations'!W49)</f>
        <v/>
      </c>
      <c r="N54" s="128" t="str">
        <f ca="1">'Hidden-Forecast Calculations'!R49</f>
        <v/>
      </c>
      <c r="O54" s="129" t="str">
        <f ca="1">'Hidden-Forecast Calculations'!S49</f>
        <v/>
      </c>
      <c r="P54" s="130" t="str">
        <f ca="1">'Hidden-Forecast Calculations'!T49</f>
        <v/>
      </c>
      <c r="Q54" s="124" t="str">
        <f ca="1">'Hidden-Forecast Calculations'!H49</f>
        <v/>
      </c>
      <c r="R54" s="124" t="str">
        <f ca="1">IF('Hidden-Forecast Calculations'!I49=0,"",'Hidden-Forecast Calculations'!I49)</f>
        <v/>
      </c>
      <c r="S54" s="131" t="str">
        <f ca="1">'Hidden-Forecast Calculations'!M49</f>
        <v/>
      </c>
    </row>
    <row r="55" spans="2:19" ht="20.100000000000001" customHeight="1" x14ac:dyDescent="0.2">
      <c r="B55" s="123" t="str">
        <f ca="1">'Hidden-Forecast Calculations'!E50</f>
        <v/>
      </c>
      <c r="C55" s="124" t="str">
        <f ca="1">'Hidden-Forecast Calculations'!J50</f>
        <v/>
      </c>
      <c r="D55" s="125" t="str">
        <f ca="1">IF('7. Demand &amp; Supply Forecast'!B57="","",'7. Demand &amp; Supply Forecast'!C57)</f>
        <v/>
      </c>
      <c r="E55" s="126" t="str">
        <f ca="1">IF('7. Demand &amp; Supply Forecast'!B57="","",'7. Demand &amp; Supply Forecast'!G57)</f>
        <v/>
      </c>
      <c r="F55" s="125" t="str">
        <f ca="1">IF('7. Demand &amp; Supply Forecast'!B57="","",'7. Demand &amp; Supply Forecast'!H57)</f>
        <v/>
      </c>
      <c r="G55" s="127" t="str">
        <f ca="1">IF('7. Demand &amp; Supply Forecast'!B57="","",'7. Demand &amp; Supply Forecast'!I57)</f>
        <v/>
      </c>
      <c r="H55" s="117" t="str">
        <f ca="1">IF('7. Demand &amp; Supply Forecast'!B57="","",'7. Demand &amp; Supply Forecast'!Q57)</f>
        <v/>
      </c>
      <c r="I55" s="116" t="str">
        <f ca="1">IF('7. Demand &amp; Supply Forecast'!B57="","",'7. Demand &amp; Supply Forecast'!R57)</f>
        <v/>
      </c>
      <c r="J55" s="118" t="str">
        <f ca="1">IF('7. Demand &amp; Supply Forecast'!B57="","",'7. Demand &amp; Supply Forecast'!S57)</f>
        <v/>
      </c>
      <c r="K55" s="125" t="str">
        <f ca="1">IF('Hidden-Forecast Calculations'!E50="","",'Hidden-Forecast Calculations'!U50)</f>
        <v/>
      </c>
      <c r="L55" s="125" t="str">
        <f ca="1">IF('Hidden-Forecast Calculations'!E50="","",'Hidden-Forecast Calculations'!V50)</f>
        <v/>
      </c>
      <c r="M55" s="125" t="str">
        <f ca="1">IF('Hidden-Forecast Calculations'!E50="","",'Hidden-Forecast Calculations'!W50)</f>
        <v/>
      </c>
      <c r="N55" s="128" t="str">
        <f ca="1">'Hidden-Forecast Calculations'!R50</f>
        <v/>
      </c>
      <c r="O55" s="129" t="str">
        <f ca="1">'Hidden-Forecast Calculations'!S50</f>
        <v/>
      </c>
      <c r="P55" s="130" t="str">
        <f ca="1">'Hidden-Forecast Calculations'!T50</f>
        <v/>
      </c>
      <c r="Q55" s="124" t="str">
        <f ca="1">'Hidden-Forecast Calculations'!H50</f>
        <v/>
      </c>
      <c r="R55" s="124" t="str">
        <f ca="1">IF('Hidden-Forecast Calculations'!I50=0,"",'Hidden-Forecast Calculations'!I50)</f>
        <v/>
      </c>
      <c r="S55" s="131" t="str">
        <f ca="1">'Hidden-Forecast Calculations'!M50</f>
        <v/>
      </c>
    </row>
    <row r="56" spans="2:19" ht="20.100000000000001" customHeight="1" x14ac:dyDescent="0.2">
      <c r="B56" s="123" t="str">
        <f ca="1">'Hidden-Forecast Calculations'!E51</f>
        <v/>
      </c>
      <c r="C56" s="124" t="str">
        <f ca="1">'Hidden-Forecast Calculations'!J51</f>
        <v/>
      </c>
      <c r="D56" s="125" t="str">
        <f ca="1">IF('7. Demand &amp; Supply Forecast'!B58="","",'7. Demand &amp; Supply Forecast'!C58)</f>
        <v/>
      </c>
      <c r="E56" s="126" t="str">
        <f ca="1">IF('7. Demand &amp; Supply Forecast'!B58="","",'7. Demand &amp; Supply Forecast'!G58)</f>
        <v/>
      </c>
      <c r="F56" s="125" t="str">
        <f ca="1">IF('7. Demand &amp; Supply Forecast'!B58="","",'7. Demand &amp; Supply Forecast'!H58)</f>
        <v/>
      </c>
      <c r="G56" s="127" t="str">
        <f ca="1">IF('7. Demand &amp; Supply Forecast'!B58="","",'7. Demand &amp; Supply Forecast'!I58)</f>
        <v/>
      </c>
      <c r="H56" s="117" t="str">
        <f ca="1">IF('7. Demand &amp; Supply Forecast'!B58="","",'7. Demand &amp; Supply Forecast'!Q58)</f>
        <v/>
      </c>
      <c r="I56" s="116" t="str">
        <f ca="1">IF('7. Demand &amp; Supply Forecast'!B58="","",'7. Demand &amp; Supply Forecast'!R58)</f>
        <v/>
      </c>
      <c r="J56" s="118" t="str">
        <f ca="1">IF('7. Demand &amp; Supply Forecast'!B58="","",'7. Demand &amp; Supply Forecast'!S58)</f>
        <v/>
      </c>
      <c r="K56" s="125" t="str">
        <f ca="1">IF('Hidden-Forecast Calculations'!E51="","",'Hidden-Forecast Calculations'!U51)</f>
        <v/>
      </c>
      <c r="L56" s="125" t="str">
        <f ca="1">IF('Hidden-Forecast Calculations'!E51="","",'Hidden-Forecast Calculations'!V51)</f>
        <v/>
      </c>
      <c r="M56" s="125" t="str">
        <f ca="1">IF('Hidden-Forecast Calculations'!E51="","",'Hidden-Forecast Calculations'!W51)</f>
        <v/>
      </c>
      <c r="N56" s="128" t="str">
        <f ca="1">'Hidden-Forecast Calculations'!R51</f>
        <v/>
      </c>
      <c r="O56" s="129" t="str">
        <f ca="1">'Hidden-Forecast Calculations'!S51</f>
        <v/>
      </c>
      <c r="P56" s="130" t="str">
        <f ca="1">'Hidden-Forecast Calculations'!T51</f>
        <v/>
      </c>
      <c r="Q56" s="124" t="str">
        <f ca="1">'Hidden-Forecast Calculations'!H51</f>
        <v/>
      </c>
      <c r="R56" s="124" t="str">
        <f ca="1">IF('Hidden-Forecast Calculations'!I51=0,"",'Hidden-Forecast Calculations'!I51)</f>
        <v/>
      </c>
      <c r="S56" s="131" t="str">
        <f ca="1">'Hidden-Forecast Calculations'!M51</f>
        <v/>
      </c>
    </row>
    <row r="57" spans="2:19" ht="20.100000000000001" customHeight="1" x14ac:dyDescent="0.2">
      <c r="B57" s="123" t="str">
        <f ca="1">'Hidden-Forecast Calculations'!E52</f>
        <v/>
      </c>
      <c r="C57" s="124" t="str">
        <f ca="1">'Hidden-Forecast Calculations'!J52</f>
        <v/>
      </c>
      <c r="D57" s="125" t="str">
        <f ca="1">IF('7. Demand &amp; Supply Forecast'!B59="","",'7. Demand &amp; Supply Forecast'!C59)</f>
        <v/>
      </c>
      <c r="E57" s="126" t="str">
        <f ca="1">IF('7. Demand &amp; Supply Forecast'!B59="","",'7. Demand &amp; Supply Forecast'!G59)</f>
        <v/>
      </c>
      <c r="F57" s="125" t="str">
        <f ca="1">IF('7. Demand &amp; Supply Forecast'!B59="","",'7. Demand &amp; Supply Forecast'!H59)</f>
        <v/>
      </c>
      <c r="G57" s="127" t="str">
        <f ca="1">IF('7. Demand &amp; Supply Forecast'!B59="","",'7. Demand &amp; Supply Forecast'!I59)</f>
        <v/>
      </c>
      <c r="H57" s="117" t="str">
        <f ca="1">IF('7. Demand &amp; Supply Forecast'!B59="","",'7. Demand &amp; Supply Forecast'!Q59)</f>
        <v/>
      </c>
      <c r="I57" s="116" t="str">
        <f ca="1">IF('7. Demand &amp; Supply Forecast'!B59="","",'7. Demand &amp; Supply Forecast'!R59)</f>
        <v/>
      </c>
      <c r="J57" s="118" t="str">
        <f ca="1">IF('7. Demand &amp; Supply Forecast'!B59="","",'7. Demand &amp; Supply Forecast'!S59)</f>
        <v/>
      </c>
      <c r="K57" s="125" t="str">
        <f ca="1">IF('Hidden-Forecast Calculations'!E52="","",'Hidden-Forecast Calculations'!U52)</f>
        <v/>
      </c>
      <c r="L57" s="125" t="str">
        <f ca="1">IF('Hidden-Forecast Calculations'!E52="","",'Hidden-Forecast Calculations'!V52)</f>
        <v/>
      </c>
      <c r="M57" s="125" t="str">
        <f ca="1">IF('Hidden-Forecast Calculations'!E52="","",'Hidden-Forecast Calculations'!W52)</f>
        <v/>
      </c>
      <c r="N57" s="128" t="str">
        <f ca="1">'Hidden-Forecast Calculations'!R52</f>
        <v/>
      </c>
      <c r="O57" s="129" t="str">
        <f ca="1">'Hidden-Forecast Calculations'!S52</f>
        <v/>
      </c>
      <c r="P57" s="130" t="str">
        <f ca="1">'Hidden-Forecast Calculations'!T52</f>
        <v/>
      </c>
      <c r="Q57" s="124" t="str">
        <f ca="1">'Hidden-Forecast Calculations'!H52</f>
        <v/>
      </c>
      <c r="R57" s="124" t="str">
        <f ca="1">IF('Hidden-Forecast Calculations'!I52=0,"",'Hidden-Forecast Calculations'!I52)</f>
        <v/>
      </c>
      <c r="S57" s="131" t="str">
        <f ca="1">'Hidden-Forecast Calculations'!M52</f>
        <v/>
      </c>
    </row>
    <row r="58" spans="2:19" ht="20.100000000000001" customHeight="1" x14ac:dyDescent="0.2">
      <c r="B58" s="123" t="str">
        <f ca="1">'Hidden-Forecast Calculations'!E53</f>
        <v/>
      </c>
      <c r="C58" s="124" t="str">
        <f ca="1">'Hidden-Forecast Calculations'!J53</f>
        <v/>
      </c>
      <c r="D58" s="125" t="str">
        <f ca="1">IF('7. Demand &amp; Supply Forecast'!B60="","",'7. Demand &amp; Supply Forecast'!C60)</f>
        <v/>
      </c>
      <c r="E58" s="126" t="str">
        <f ca="1">IF('7. Demand &amp; Supply Forecast'!B60="","",'7. Demand &amp; Supply Forecast'!G60)</f>
        <v/>
      </c>
      <c r="F58" s="125" t="str">
        <f ca="1">IF('7. Demand &amp; Supply Forecast'!B60="","",'7. Demand &amp; Supply Forecast'!H60)</f>
        <v/>
      </c>
      <c r="G58" s="127" t="str">
        <f ca="1">IF('7. Demand &amp; Supply Forecast'!B60="","",'7. Demand &amp; Supply Forecast'!I60)</f>
        <v/>
      </c>
      <c r="H58" s="117" t="str">
        <f ca="1">IF('7. Demand &amp; Supply Forecast'!B60="","",'7. Demand &amp; Supply Forecast'!Q60)</f>
        <v/>
      </c>
      <c r="I58" s="116" t="str">
        <f ca="1">IF('7. Demand &amp; Supply Forecast'!B60="","",'7. Demand &amp; Supply Forecast'!R60)</f>
        <v/>
      </c>
      <c r="J58" s="118" t="str">
        <f ca="1">IF('7. Demand &amp; Supply Forecast'!B60="","",'7. Demand &amp; Supply Forecast'!S60)</f>
        <v/>
      </c>
      <c r="K58" s="125" t="str">
        <f ca="1">IF('Hidden-Forecast Calculations'!E53="","",'Hidden-Forecast Calculations'!U53)</f>
        <v/>
      </c>
      <c r="L58" s="125" t="str">
        <f ca="1">IF('Hidden-Forecast Calculations'!E53="","",'Hidden-Forecast Calculations'!V53)</f>
        <v/>
      </c>
      <c r="M58" s="125" t="str">
        <f ca="1">IF('Hidden-Forecast Calculations'!E53="","",'Hidden-Forecast Calculations'!W53)</f>
        <v/>
      </c>
      <c r="N58" s="128" t="str">
        <f ca="1">'Hidden-Forecast Calculations'!R53</f>
        <v/>
      </c>
      <c r="O58" s="129" t="str">
        <f ca="1">'Hidden-Forecast Calculations'!S53</f>
        <v/>
      </c>
      <c r="P58" s="130" t="str">
        <f ca="1">'Hidden-Forecast Calculations'!T53</f>
        <v/>
      </c>
      <c r="Q58" s="124" t="str">
        <f ca="1">'Hidden-Forecast Calculations'!H53</f>
        <v/>
      </c>
      <c r="R58" s="124" t="str">
        <f ca="1">IF('Hidden-Forecast Calculations'!I53=0,"",'Hidden-Forecast Calculations'!I53)</f>
        <v/>
      </c>
      <c r="S58" s="131" t="str">
        <f ca="1">'Hidden-Forecast Calculations'!M53</f>
        <v/>
      </c>
    </row>
    <row r="59" spans="2:19" ht="20.100000000000001" customHeight="1" x14ac:dyDescent="0.2">
      <c r="B59" s="123" t="str">
        <f ca="1">'Hidden-Forecast Calculations'!E54</f>
        <v/>
      </c>
      <c r="C59" s="124" t="str">
        <f ca="1">'Hidden-Forecast Calculations'!J54</f>
        <v/>
      </c>
      <c r="D59" s="125" t="str">
        <f ca="1">IF('7. Demand &amp; Supply Forecast'!B61="","",'7. Demand &amp; Supply Forecast'!C61)</f>
        <v/>
      </c>
      <c r="E59" s="126" t="str">
        <f ca="1">IF('7. Demand &amp; Supply Forecast'!B61="","",'7. Demand &amp; Supply Forecast'!G61)</f>
        <v/>
      </c>
      <c r="F59" s="125" t="str">
        <f ca="1">IF('7. Demand &amp; Supply Forecast'!B61="","",'7. Demand &amp; Supply Forecast'!H61)</f>
        <v/>
      </c>
      <c r="G59" s="127" t="str">
        <f ca="1">IF('7. Demand &amp; Supply Forecast'!B61="","",'7. Demand &amp; Supply Forecast'!I61)</f>
        <v/>
      </c>
      <c r="H59" s="117" t="str">
        <f ca="1">IF('7. Demand &amp; Supply Forecast'!B61="","",'7. Demand &amp; Supply Forecast'!Q61)</f>
        <v/>
      </c>
      <c r="I59" s="116" t="str">
        <f ca="1">IF('7. Demand &amp; Supply Forecast'!B61="","",'7. Demand &amp; Supply Forecast'!R61)</f>
        <v/>
      </c>
      <c r="J59" s="118" t="str">
        <f ca="1">IF('7. Demand &amp; Supply Forecast'!B61="","",'7. Demand &amp; Supply Forecast'!S61)</f>
        <v/>
      </c>
      <c r="K59" s="125" t="str">
        <f ca="1">IF('Hidden-Forecast Calculations'!E54="","",'Hidden-Forecast Calculations'!U54)</f>
        <v/>
      </c>
      <c r="L59" s="125" t="str">
        <f ca="1">IF('Hidden-Forecast Calculations'!E54="","",'Hidden-Forecast Calculations'!V54)</f>
        <v/>
      </c>
      <c r="M59" s="125" t="str">
        <f ca="1">IF('Hidden-Forecast Calculations'!E54="","",'Hidden-Forecast Calculations'!W54)</f>
        <v/>
      </c>
      <c r="N59" s="128" t="str">
        <f ca="1">'Hidden-Forecast Calculations'!R54</f>
        <v/>
      </c>
      <c r="O59" s="129" t="str">
        <f ca="1">'Hidden-Forecast Calculations'!S54</f>
        <v/>
      </c>
      <c r="P59" s="130" t="str">
        <f ca="1">'Hidden-Forecast Calculations'!T54</f>
        <v/>
      </c>
      <c r="Q59" s="124" t="str">
        <f ca="1">'Hidden-Forecast Calculations'!H54</f>
        <v/>
      </c>
      <c r="R59" s="124" t="str">
        <f ca="1">IF('Hidden-Forecast Calculations'!I54=0,"",'Hidden-Forecast Calculations'!I54)</f>
        <v/>
      </c>
      <c r="S59" s="131" t="str">
        <f ca="1">'Hidden-Forecast Calculations'!M54</f>
        <v/>
      </c>
    </row>
    <row r="60" spans="2:19" ht="20.100000000000001" customHeight="1" x14ac:dyDescent="0.2">
      <c r="B60" s="123" t="str">
        <f ca="1">'Hidden-Forecast Calculations'!E55</f>
        <v/>
      </c>
      <c r="C60" s="124" t="str">
        <f ca="1">'Hidden-Forecast Calculations'!J55</f>
        <v/>
      </c>
      <c r="D60" s="125" t="str">
        <f ca="1">IF('7. Demand &amp; Supply Forecast'!B62="","",'7. Demand &amp; Supply Forecast'!C62)</f>
        <v/>
      </c>
      <c r="E60" s="126" t="str">
        <f ca="1">IF('7. Demand &amp; Supply Forecast'!B62="","",'7. Demand &amp; Supply Forecast'!G62)</f>
        <v/>
      </c>
      <c r="F60" s="125" t="str">
        <f ca="1">IF('7. Demand &amp; Supply Forecast'!B62="","",'7. Demand &amp; Supply Forecast'!H62)</f>
        <v/>
      </c>
      <c r="G60" s="127" t="str">
        <f ca="1">IF('7. Demand &amp; Supply Forecast'!B62="","",'7. Demand &amp; Supply Forecast'!I62)</f>
        <v/>
      </c>
      <c r="H60" s="117" t="str">
        <f ca="1">IF('7. Demand &amp; Supply Forecast'!B62="","",'7. Demand &amp; Supply Forecast'!Q62)</f>
        <v/>
      </c>
      <c r="I60" s="116" t="str">
        <f ca="1">IF('7. Demand &amp; Supply Forecast'!B62="","",'7. Demand &amp; Supply Forecast'!R62)</f>
        <v/>
      </c>
      <c r="J60" s="118" t="str">
        <f ca="1">IF('7. Demand &amp; Supply Forecast'!B62="","",'7. Demand &amp; Supply Forecast'!S62)</f>
        <v/>
      </c>
      <c r="K60" s="125" t="str">
        <f ca="1">IF('Hidden-Forecast Calculations'!E55="","",'Hidden-Forecast Calculations'!U55)</f>
        <v/>
      </c>
      <c r="L60" s="125" t="str">
        <f ca="1">IF('Hidden-Forecast Calculations'!E55="","",'Hidden-Forecast Calculations'!V55)</f>
        <v/>
      </c>
      <c r="M60" s="125" t="str">
        <f ca="1">IF('Hidden-Forecast Calculations'!E55="","",'Hidden-Forecast Calculations'!W55)</f>
        <v/>
      </c>
      <c r="N60" s="128" t="str">
        <f ca="1">'Hidden-Forecast Calculations'!R55</f>
        <v/>
      </c>
      <c r="O60" s="129" t="str">
        <f ca="1">'Hidden-Forecast Calculations'!S55</f>
        <v/>
      </c>
      <c r="P60" s="130" t="str">
        <f ca="1">'Hidden-Forecast Calculations'!T55</f>
        <v/>
      </c>
      <c r="Q60" s="124" t="str">
        <f ca="1">'Hidden-Forecast Calculations'!H55</f>
        <v/>
      </c>
      <c r="R60" s="124" t="str">
        <f ca="1">IF('Hidden-Forecast Calculations'!I55=0,"",'Hidden-Forecast Calculations'!I55)</f>
        <v/>
      </c>
      <c r="S60" s="131" t="str">
        <f ca="1">'Hidden-Forecast Calculations'!M55</f>
        <v/>
      </c>
    </row>
    <row r="61" spans="2:19" ht="20.100000000000001" customHeight="1" x14ac:dyDescent="0.2">
      <c r="B61" s="123" t="str">
        <f ca="1">'Hidden-Forecast Calculations'!E56</f>
        <v/>
      </c>
      <c r="C61" s="124" t="str">
        <f ca="1">'Hidden-Forecast Calculations'!J56</f>
        <v/>
      </c>
      <c r="D61" s="125" t="str">
        <f ca="1">IF('7. Demand &amp; Supply Forecast'!B63="","",'7. Demand &amp; Supply Forecast'!C63)</f>
        <v/>
      </c>
      <c r="E61" s="126" t="str">
        <f ca="1">IF('7. Demand &amp; Supply Forecast'!B63="","",'7. Demand &amp; Supply Forecast'!G63)</f>
        <v/>
      </c>
      <c r="F61" s="125" t="str">
        <f ca="1">IF('7. Demand &amp; Supply Forecast'!B63="","",'7. Demand &amp; Supply Forecast'!H63)</f>
        <v/>
      </c>
      <c r="G61" s="127" t="str">
        <f ca="1">IF('7. Demand &amp; Supply Forecast'!B63="","",'7. Demand &amp; Supply Forecast'!I63)</f>
        <v/>
      </c>
      <c r="H61" s="117" t="str">
        <f ca="1">IF('7. Demand &amp; Supply Forecast'!B63="","",'7. Demand &amp; Supply Forecast'!Q63)</f>
        <v/>
      </c>
      <c r="I61" s="116" t="str">
        <f ca="1">IF('7. Demand &amp; Supply Forecast'!B63="","",'7. Demand &amp; Supply Forecast'!R63)</f>
        <v/>
      </c>
      <c r="J61" s="118" t="str">
        <f ca="1">IF('7. Demand &amp; Supply Forecast'!B63="","",'7. Demand &amp; Supply Forecast'!S63)</f>
        <v/>
      </c>
      <c r="K61" s="125" t="str">
        <f ca="1">IF('Hidden-Forecast Calculations'!E56="","",'Hidden-Forecast Calculations'!U56)</f>
        <v/>
      </c>
      <c r="L61" s="125" t="str">
        <f ca="1">IF('Hidden-Forecast Calculations'!E56="","",'Hidden-Forecast Calculations'!V56)</f>
        <v/>
      </c>
      <c r="M61" s="125" t="str">
        <f ca="1">IF('Hidden-Forecast Calculations'!E56="","",'Hidden-Forecast Calculations'!W56)</f>
        <v/>
      </c>
      <c r="N61" s="128" t="str">
        <f ca="1">'Hidden-Forecast Calculations'!R56</f>
        <v/>
      </c>
      <c r="O61" s="129" t="str">
        <f ca="1">'Hidden-Forecast Calculations'!S56</f>
        <v/>
      </c>
      <c r="P61" s="130" t="str">
        <f ca="1">'Hidden-Forecast Calculations'!T56</f>
        <v/>
      </c>
      <c r="Q61" s="124" t="str">
        <f ca="1">'Hidden-Forecast Calculations'!H56</f>
        <v/>
      </c>
      <c r="R61" s="124" t="str">
        <f ca="1">IF('Hidden-Forecast Calculations'!I56=0,"",'Hidden-Forecast Calculations'!I56)</f>
        <v/>
      </c>
      <c r="S61" s="131" t="str">
        <f ca="1">'Hidden-Forecast Calculations'!M56</f>
        <v/>
      </c>
    </row>
    <row r="62" spans="2:19" ht="20.100000000000001" customHeight="1" x14ac:dyDescent="0.2">
      <c r="B62" s="123" t="str">
        <f ca="1">'Hidden-Forecast Calculations'!E57</f>
        <v/>
      </c>
      <c r="C62" s="124" t="str">
        <f ca="1">'Hidden-Forecast Calculations'!J57</f>
        <v/>
      </c>
      <c r="D62" s="125" t="str">
        <f ca="1">IF('7. Demand &amp; Supply Forecast'!B64="","",'7. Demand &amp; Supply Forecast'!C64)</f>
        <v/>
      </c>
      <c r="E62" s="126" t="str">
        <f ca="1">IF('7. Demand &amp; Supply Forecast'!B64="","",'7. Demand &amp; Supply Forecast'!G64)</f>
        <v/>
      </c>
      <c r="F62" s="125" t="str">
        <f ca="1">IF('7. Demand &amp; Supply Forecast'!B64="","",'7. Demand &amp; Supply Forecast'!H64)</f>
        <v/>
      </c>
      <c r="G62" s="127" t="str">
        <f ca="1">IF('7. Demand &amp; Supply Forecast'!B64="","",'7. Demand &amp; Supply Forecast'!I64)</f>
        <v/>
      </c>
      <c r="H62" s="117" t="str">
        <f ca="1">IF('7. Demand &amp; Supply Forecast'!B64="","",'7. Demand &amp; Supply Forecast'!Q64)</f>
        <v/>
      </c>
      <c r="I62" s="116" t="str">
        <f ca="1">IF('7. Demand &amp; Supply Forecast'!B64="","",'7. Demand &amp; Supply Forecast'!R64)</f>
        <v/>
      </c>
      <c r="J62" s="118" t="str">
        <f ca="1">IF('7. Demand &amp; Supply Forecast'!B64="","",'7. Demand &amp; Supply Forecast'!S64)</f>
        <v/>
      </c>
      <c r="K62" s="125" t="str">
        <f ca="1">IF('Hidden-Forecast Calculations'!E57="","",'Hidden-Forecast Calculations'!U57)</f>
        <v/>
      </c>
      <c r="L62" s="125" t="str">
        <f ca="1">IF('Hidden-Forecast Calculations'!E57="","",'Hidden-Forecast Calculations'!V57)</f>
        <v/>
      </c>
      <c r="M62" s="125" t="str">
        <f ca="1">IF('Hidden-Forecast Calculations'!E57="","",'Hidden-Forecast Calculations'!W57)</f>
        <v/>
      </c>
      <c r="N62" s="128" t="str">
        <f ca="1">'Hidden-Forecast Calculations'!R57</f>
        <v/>
      </c>
      <c r="O62" s="129" t="str">
        <f ca="1">'Hidden-Forecast Calculations'!S57</f>
        <v/>
      </c>
      <c r="P62" s="130" t="str">
        <f ca="1">'Hidden-Forecast Calculations'!T57</f>
        <v/>
      </c>
      <c r="Q62" s="124" t="str">
        <f ca="1">'Hidden-Forecast Calculations'!H57</f>
        <v/>
      </c>
      <c r="R62" s="124" t="str">
        <f ca="1">IF('Hidden-Forecast Calculations'!I57=0,"",'Hidden-Forecast Calculations'!I57)</f>
        <v/>
      </c>
      <c r="S62" s="131" t="str">
        <f ca="1">'Hidden-Forecast Calculations'!M57</f>
        <v/>
      </c>
    </row>
    <row r="63" spans="2:19" ht="20.100000000000001" customHeight="1" x14ac:dyDescent="0.2">
      <c r="B63" s="123" t="str">
        <f ca="1">'Hidden-Forecast Calculations'!E58</f>
        <v/>
      </c>
      <c r="C63" s="124" t="str">
        <f ca="1">'Hidden-Forecast Calculations'!J58</f>
        <v/>
      </c>
      <c r="D63" s="125" t="str">
        <f ca="1">IF('7. Demand &amp; Supply Forecast'!B65="","",'7. Demand &amp; Supply Forecast'!C65)</f>
        <v/>
      </c>
      <c r="E63" s="126" t="str">
        <f ca="1">IF('7. Demand &amp; Supply Forecast'!B65="","",'7. Demand &amp; Supply Forecast'!G65)</f>
        <v/>
      </c>
      <c r="F63" s="125" t="str">
        <f ca="1">IF('7. Demand &amp; Supply Forecast'!B65="","",'7. Demand &amp; Supply Forecast'!H65)</f>
        <v/>
      </c>
      <c r="G63" s="127" t="str">
        <f ca="1">IF('7. Demand &amp; Supply Forecast'!B65="","",'7. Demand &amp; Supply Forecast'!I65)</f>
        <v/>
      </c>
      <c r="H63" s="117" t="str">
        <f ca="1">IF('7. Demand &amp; Supply Forecast'!B65="","",'7. Demand &amp; Supply Forecast'!Q65)</f>
        <v/>
      </c>
      <c r="I63" s="116" t="str">
        <f ca="1">IF('7. Demand &amp; Supply Forecast'!B65="","",'7. Demand &amp; Supply Forecast'!R65)</f>
        <v/>
      </c>
      <c r="J63" s="118" t="str">
        <f ca="1">IF('7. Demand &amp; Supply Forecast'!B65="","",'7. Demand &amp; Supply Forecast'!S65)</f>
        <v/>
      </c>
      <c r="K63" s="125" t="str">
        <f ca="1">IF('Hidden-Forecast Calculations'!E58="","",'Hidden-Forecast Calculations'!U58)</f>
        <v/>
      </c>
      <c r="L63" s="125" t="str">
        <f ca="1">IF('Hidden-Forecast Calculations'!E58="","",'Hidden-Forecast Calculations'!V58)</f>
        <v/>
      </c>
      <c r="M63" s="125" t="str">
        <f ca="1">IF('Hidden-Forecast Calculations'!E58="","",'Hidden-Forecast Calculations'!W58)</f>
        <v/>
      </c>
      <c r="N63" s="128" t="str">
        <f ca="1">'Hidden-Forecast Calculations'!R58</f>
        <v/>
      </c>
      <c r="O63" s="129" t="str">
        <f ca="1">'Hidden-Forecast Calculations'!S58</f>
        <v/>
      </c>
      <c r="P63" s="130" t="str">
        <f ca="1">'Hidden-Forecast Calculations'!T58</f>
        <v/>
      </c>
      <c r="Q63" s="124" t="str">
        <f ca="1">'Hidden-Forecast Calculations'!H58</f>
        <v/>
      </c>
      <c r="R63" s="124" t="str">
        <f ca="1">IF('Hidden-Forecast Calculations'!I58=0,"",'Hidden-Forecast Calculations'!I58)</f>
        <v/>
      </c>
      <c r="S63" s="131" t="str">
        <f ca="1">'Hidden-Forecast Calculations'!M58</f>
        <v/>
      </c>
    </row>
    <row r="64" spans="2:19" ht="20.100000000000001" customHeight="1" x14ac:dyDescent="0.2">
      <c r="B64" s="123" t="str">
        <f ca="1">'Hidden-Forecast Calculations'!E59</f>
        <v/>
      </c>
      <c r="C64" s="124" t="str">
        <f ca="1">'Hidden-Forecast Calculations'!J59</f>
        <v/>
      </c>
      <c r="D64" s="125" t="str">
        <f ca="1">IF('7. Demand &amp; Supply Forecast'!B66="","",'7. Demand &amp; Supply Forecast'!C66)</f>
        <v/>
      </c>
      <c r="E64" s="126" t="str">
        <f ca="1">IF('7. Demand &amp; Supply Forecast'!B66="","",'7. Demand &amp; Supply Forecast'!G66)</f>
        <v/>
      </c>
      <c r="F64" s="125" t="str">
        <f ca="1">IF('7. Demand &amp; Supply Forecast'!B66="","",'7. Demand &amp; Supply Forecast'!H66)</f>
        <v/>
      </c>
      <c r="G64" s="127" t="str">
        <f ca="1">IF('7. Demand &amp; Supply Forecast'!B66="","",'7. Demand &amp; Supply Forecast'!I66)</f>
        <v/>
      </c>
      <c r="H64" s="117" t="str">
        <f ca="1">IF('7. Demand &amp; Supply Forecast'!B66="","",'7. Demand &amp; Supply Forecast'!Q66)</f>
        <v/>
      </c>
      <c r="I64" s="116" t="str">
        <f ca="1">IF('7. Demand &amp; Supply Forecast'!B66="","",'7. Demand &amp; Supply Forecast'!R66)</f>
        <v/>
      </c>
      <c r="J64" s="118" t="str">
        <f ca="1">IF('7. Demand &amp; Supply Forecast'!B66="","",'7. Demand &amp; Supply Forecast'!S66)</f>
        <v/>
      </c>
      <c r="K64" s="125" t="str">
        <f ca="1">IF('Hidden-Forecast Calculations'!E59="","",'Hidden-Forecast Calculations'!U59)</f>
        <v/>
      </c>
      <c r="L64" s="125" t="str">
        <f ca="1">IF('Hidden-Forecast Calculations'!E59="","",'Hidden-Forecast Calculations'!V59)</f>
        <v/>
      </c>
      <c r="M64" s="125" t="str">
        <f ca="1">IF('Hidden-Forecast Calculations'!E59="","",'Hidden-Forecast Calculations'!W59)</f>
        <v/>
      </c>
      <c r="N64" s="128" t="str">
        <f ca="1">'Hidden-Forecast Calculations'!R59</f>
        <v/>
      </c>
      <c r="O64" s="129" t="str">
        <f ca="1">'Hidden-Forecast Calculations'!S59</f>
        <v/>
      </c>
      <c r="P64" s="130" t="str">
        <f ca="1">'Hidden-Forecast Calculations'!T59</f>
        <v/>
      </c>
      <c r="Q64" s="124" t="str">
        <f ca="1">'Hidden-Forecast Calculations'!H59</f>
        <v/>
      </c>
      <c r="R64" s="124" t="str">
        <f ca="1">IF('Hidden-Forecast Calculations'!I59=0,"",'Hidden-Forecast Calculations'!I59)</f>
        <v/>
      </c>
      <c r="S64" s="131" t="str">
        <f ca="1">'Hidden-Forecast Calculations'!M59</f>
        <v/>
      </c>
    </row>
    <row r="65" spans="2:19" ht="20.100000000000001" customHeight="1" x14ac:dyDescent="0.2">
      <c r="B65" s="123" t="str">
        <f ca="1">'Hidden-Forecast Calculations'!E60</f>
        <v/>
      </c>
      <c r="C65" s="124" t="str">
        <f ca="1">'Hidden-Forecast Calculations'!J60</f>
        <v/>
      </c>
      <c r="D65" s="125" t="str">
        <f ca="1">IF('7. Demand &amp; Supply Forecast'!B67="","",'7. Demand &amp; Supply Forecast'!C67)</f>
        <v/>
      </c>
      <c r="E65" s="126" t="str">
        <f ca="1">IF('7. Demand &amp; Supply Forecast'!B67="","",'7. Demand &amp; Supply Forecast'!G67)</f>
        <v/>
      </c>
      <c r="F65" s="125" t="str">
        <f ca="1">IF('7. Demand &amp; Supply Forecast'!B67="","",'7. Demand &amp; Supply Forecast'!H67)</f>
        <v/>
      </c>
      <c r="G65" s="127" t="str">
        <f ca="1">IF('7. Demand &amp; Supply Forecast'!B67="","",'7. Demand &amp; Supply Forecast'!I67)</f>
        <v/>
      </c>
      <c r="H65" s="117" t="str">
        <f ca="1">IF('7. Demand &amp; Supply Forecast'!B67="","",'7. Demand &amp; Supply Forecast'!Q67)</f>
        <v/>
      </c>
      <c r="I65" s="116" t="str">
        <f ca="1">IF('7. Demand &amp; Supply Forecast'!B67="","",'7. Demand &amp; Supply Forecast'!R67)</f>
        <v/>
      </c>
      <c r="J65" s="118" t="str">
        <f ca="1">IF('7. Demand &amp; Supply Forecast'!B67="","",'7. Demand &amp; Supply Forecast'!S67)</f>
        <v/>
      </c>
      <c r="K65" s="125" t="str">
        <f ca="1">IF('Hidden-Forecast Calculations'!E60="","",'Hidden-Forecast Calculations'!U60)</f>
        <v/>
      </c>
      <c r="L65" s="125" t="str">
        <f ca="1">IF('Hidden-Forecast Calculations'!E60="","",'Hidden-Forecast Calculations'!V60)</f>
        <v/>
      </c>
      <c r="M65" s="125" t="str">
        <f ca="1">IF('Hidden-Forecast Calculations'!E60="","",'Hidden-Forecast Calculations'!W60)</f>
        <v/>
      </c>
      <c r="N65" s="128" t="str">
        <f ca="1">'Hidden-Forecast Calculations'!R60</f>
        <v/>
      </c>
      <c r="O65" s="129" t="str">
        <f ca="1">'Hidden-Forecast Calculations'!S60</f>
        <v/>
      </c>
      <c r="P65" s="130" t="str">
        <f ca="1">'Hidden-Forecast Calculations'!T60</f>
        <v/>
      </c>
      <c r="Q65" s="124" t="str">
        <f ca="1">'Hidden-Forecast Calculations'!H60</f>
        <v/>
      </c>
      <c r="R65" s="124" t="str">
        <f ca="1">IF('Hidden-Forecast Calculations'!I60=0,"",'Hidden-Forecast Calculations'!I60)</f>
        <v/>
      </c>
      <c r="S65" s="131" t="str">
        <f ca="1">'Hidden-Forecast Calculations'!M60</f>
        <v/>
      </c>
    </row>
    <row r="66" spans="2:19" ht="20.100000000000001" customHeight="1" x14ac:dyDescent="0.2">
      <c r="B66" s="123" t="str">
        <f ca="1">'Hidden-Forecast Calculations'!E61</f>
        <v/>
      </c>
      <c r="C66" s="124" t="str">
        <f ca="1">'Hidden-Forecast Calculations'!J61</f>
        <v/>
      </c>
      <c r="D66" s="125" t="str">
        <f ca="1">IF('7. Demand &amp; Supply Forecast'!B68="","",'7. Demand &amp; Supply Forecast'!C68)</f>
        <v/>
      </c>
      <c r="E66" s="126" t="str">
        <f ca="1">IF('7. Demand &amp; Supply Forecast'!B68="","",'7. Demand &amp; Supply Forecast'!G68)</f>
        <v/>
      </c>
      <c r="F66" s="125" t="str">
        <f ca="1">IF('7. Demand &amp; Supply Forecast'!B68="","",'7. Demand &amp; Supply Forecast'!H68)</f>
        <v/>
      </c>
      <c r="G66" s="127" t="str">
        <f ca="1">IF('7. Demand &amp; Supply Forecast'!B68="","",'7. Demand &amp; Supply Forecast'!I68)</f>
        <v/>
      </c>
      <c r="H66" s="117" t="str">
        <f ca="1">IF('7. Demand &amp; Supply Forecast'!B68="","",'7. Demand &amp; Supply Forecast'!Q68)</f>
        <v/>
      </c>
      <c r="I66" s="116" t="str">
        <f ca="1">IF('7. Demand &amp; Supply Forecast'!B68="","",'7. Demand &amp; Supply Forecast'!R68)</f>
        <v/>
      </c>
      <c r="J66" s="118" t="str">
        <f ca="1">IF('7. Demand &amp; Supply Forecast'!B68="","",'7. Demand &amp; Supply Forecast'!S68)</f>
        <v/>
      </c>
      <c r="K66" s="125" t="str">
        <f ca="1">IF('Hidden-Forecast Calculations'!E61="","",'Hidden-Forecast Calculations'!U61)</f>
        <v/>
      </c>
      <c r="L66" s="125" t="str">
        <f ca="1">IF('Hidden-Forecast Calculations'!E61="","",'Hidden-Forecast Calculations'!V61)</f>
        <v/>
      </c>
      <c r="M66" s="125" t="str">
        <f ca="1">IF('Hidden-Forecast Calculations'!E61="","",'Hidden-Forecast Calculations'!W61)</f>
        <v/>
      </c>
      <c r="N66" s="128" t="str">
        <f ca="1">'Hidden-Forecast Calculations'!R61</f>
        <v/>
      </c>
      <c r="O66" s="129" t="str">
        <f ca="1">'Hidden-Forecast Calculations'!S61</f>
        <v/>
      </c>
      <c r="P66" s="130" t="str">
        <f ca="1">'Hidden-Forecast Calculations'!T61</f>
        <v/>
      </c>
      <c r="Q66" s="124" t="str">
        <f ca="1">'Hidden-Forecast Calculations'!H61</f>
        <v/>
      </c>
      <c r="R66" s="124" t="str">
        <f ca="1">IF('Hidden-Forecast Calculations'!I61=0,"",'Hidden-Forecast Calculations'!I61)</f>
        <v/>
      </c>
      <c r="S66" s="131" t="str">
        <f ca="1">'Hidden-Forecast Calculations'!M61</f>
        <v/>
      </c>
    </row>
    <row r="67" spans="2:19" ht="20.100000000000001" customHeight="1" x14ac:dyDescent="0.2">
      <c r="B67" s="123" t="str">
        <f ca="1">'Hidden-Forecast Calculations'!E62</f>
        <v/>
      </c>
      <c r="C67" s="124" t="str">
        <f ca="1">'Hidden-Forecast Calculations'!J62</f>
        <v/>
      </c>
      <c r="D67" s="125" t="str">
        <f ca="1">IF('7. Demand &amp; Supply Forecast'!B69="","",'7. Demand &amp; Supply Forecast'!C69)</f>
        <v/>
      </c>
      <c r="E67" s="126" t="str">
        <f ca="1">IF('7. Demand &amp; Supply Forecast'!B69="","",'7. Demand &amp; Supply Forecast'!G69)</f>
        <v/>
      </c>
      <c r="F67" s="125" t="str">
        <f ca="1">IF('7. Demand &amp; Supply Forecast'!B69="","",'7. Demand &amp; Supply Forecast'!H69)</f>
        <v/>
      </c>
      <c r="G67" s="127" t="str">
        <f ca="1">IF('7. Demand &amp; Supply Forecast'!B69="","",'7. Demand &amp; Supply Forecast'!I69)</f>
        <v/>
      </c>
      <c r="H67" s="117" t="str">
        <f ca="1">IF('7. Demand &amp; Supply Forecast'!B69="","",'7. Demand &amp; Supply Forecast'!Q69)</f>
        <v/>
      </c>
      <c r="I67" s="116" t="str">
        <f ca="1">IF('7. Demand &amp; Supply Forecast'!B69="","",'7. Demand &amp; Supply Forecast'!R69)</f>
        <v/>
      </c>
      <c r="J67" s="118" t="str">
        <f ca="1">IF('7. Demand &amp; Supply Forecast'!B69="","",'7. Demand &amp; Supply Forecast'!S69)</f>
        <v/>
      </c>
      <c r="K67" s="125" t="str">
        <f ca="1">IF('Hidden-Forecast Calculations'!E62="","",'Hidden-Forecast Calculations'!U62)</f>
        <v/>
      </c>
      <c r="L67" s="125" t="str">
        <f ca="1">IF('Hidden-Forecast Calculations'!E62="","",'Hidden-Forecast Calculations'!V62)</f>
        <v/>
      </c>
      <c r="M67" s="125" t="str">
        <f ca="1">IF('Hidden-Forecast Calculations'!E62="","",'Hidden-Forecast Calculations'!W62)</f>
        <v/>
      </c>
      <c r="N67" s="128" t="str">
        <f ca="1">'Hidden-Forecast Calculations'!R62</f>
        <v/>
      </c>
      <c r="O67" s="129" t="str">
        <f ca="1">'Hidden-Forecast Calculations'!S62</f>
        <v/>
      </c>
      <c r="P67" s="130" t="str">
        <f ca="1">'Hidden-Forecast Calculations'!T62</f>
        <v/>
      </c>
      <c r="Q67" s="124" t="str">
        <f ca="1">'Hidden-Forecast Calculations'!H62</f>
        <v/>
      </c>
      <c r="R67" s="124" t="str">
        <f ca="1">IF('Hidden-Forecast Calculations'!I62=0,"",'Hidden-Forecast Calculations'!I62)</f>
        <v/>
      </c>
      <c r="S67" s="131" t="str">
        <f ca="1">'Hidden-Forecast Calculations'!M62</f>
        <v/>
      </c>
    </row>
    <row r="68" spans="2:19" ht="20.100000000000001" customHeight="1" x14ac:dyDescent="0.2">
      <c r="B68" s="123" t="str">
        <f ca="1">'Hidden-Forecast Calculations'!E63</f>
        <v/>
      </c>
      <c r="C68" s="124" t="str">
        <f ca="1">'Hidden-Forecast Calculations'!J63</f>
        <v/>
      </c>
      <c r="D68" s="125" t="str">
        <f ca="1">IF('7. Demand &amp; Supply Forecast'!B70="","",'7. Demand &amp; Supply Forecast'!C70)</f>
        <v/>
      </c>
      <c r="E68" s="126" t="str">
        <f ca="1">IF('7. Demand &amp; Supply Forecast'!B70="","",'7. Demand &amp; Supply Forecast'!G70)</f>
        <v/>
      </c>
      <c r="F68" s="125" t="str">
        <f ca="1">IF('7. Demand &amp; Supply Forecast'!B70="","",'7. Demand &amp; Supply Forecast'!H70)</f>
        <v/>
      </c>
      <c r="G68" s="127" t="str">
        <f ca="1">IF('7. Demand &amp; Supply Forecast'!B70="","",'7. Demand &amp; Supply Forecast'!I70)</f>
        <v/>
      </c>
      <c r="H68" s="117" t="str">
        <f ca="1">IF('7. Demand &amp; Supply Forecast'!B70="","",'7. Demand &amp; Supply Forecast'!Q70)</f>
        <v/>
      </c>
      <c r="I68" s="116" t="str">
        <f ca="1">IF('7. Demand &amp; Supply Forecast'!B70="","",'7. Demand &amp; Supply Forecast'!R70)</f>
        <v/>
      </c>
      <c r="J68" s="118" t="str">
        <f ca="1">IF('7. Demand &amp; Supply Forecast'!B70="","",'7. Demand &amp; Supply Forecast'!S70)</f>
        <v/>
      </c>
      <c r="K68" s="125" t="str">
        <f ca="1">IF('Hidden-Forecast Calculations'!E63="","",'Hidden-Forecast Calculations'!U63)</f>
        <v/>
      </c>
      <c r="L68" s="125" t="str">
        <f ca="1">IF('Hidden-Forecast Calculations'!E63="","",'Hidden-Forecast Calculations'!V63)</f>
        <v/>
      </c>
      <c r="M68" s="125" t="str">
        <f ca="1">IF('Hidden-Forecast Calculations'!E63="","",'Hidden-Forecast Calculations'!W63)</f>
        <v/>
      </c>
      <c r="N68" s="128" t="str">
        <f ca="1">'Hidden-Forecast Calculations'!R63</f>
        <v/>
      </c>
      <c r="O68" s="129" t="str">
        <f ca="1">'Hidden-Forecast Calculations'!S63</f>
        <v/>
      </c>
      <c r="P68" s="130" t="str">
        <f ca="1">'Hidden-Forecast Calculations'!T63</f>
        <v/>
      </c>
      <c r="Q68" s="124" t="str">
        <f ca="1">'Hidden-Forecast Calculations'!H63</f>
        <v/>
      </c>
      <c r="R68" s="124" t="str">
        <f ca="1">IF('Hidden-Forecast Calculations'!I63=0,"",'Hidden-Forecast Calculations'!I63)</f>
        <v/>
      </c>
      <c r="S68" s="131" t="str">
        <f ca="1">'Hidden-Forecast Calculations'!M63</f>
        <v/>
      </c>
    </row>
    <row r="69" spans="2:19" ht="20.100000000000001" customHeight="1" x14ac:dyDescent="0.2">
      <c r="B69" s="123" t="str">
        <f ca="1">'Hidden-Forecast Calculations'!E64</f>
        <v/>
      </c>
      <c r="C69" s="124" t="str">
        <f ca="1">'Hidden-Forecast Calculations'!J64</f>
        <v/>
      </c>
      <c r="D69" s="125" t="str">
        <f ca="1">IF('7. Demand &amp; Supply Forecast'!B71="","",'7. Demand &amp; Supply Forecast'!C71)</f>
        <v/>
      </c>
      <c r="E69" s="126" t="str">
        <f ca="1">IF('7. Demand &amp; Supply Forecast'!B71="","",'7. Demand &amp; Supply Forecast'!G71)</f>
        <v/>
      </c>
      <c r="F69" s="125" t="str">
        <f ca="1">IF('7. Demand &amp; Supply Forecast'!B71="","",'7. Demand &amp; Supply Forecast'!H71)</f>
        <v/>
      </c>
      <c r="G69" s="127" t="str">
        <f ca="1">IF('7. Demand &amp; Supply Forecast'!B71="","",'7. Demand &amp; Supply Forecast'!I71)</f>
        <v/>
      </c>
      <c r="H69" s="117" t="str">
        <f ca="1">IF('7. Demand &amp; Supply Forecast'!B71="","",'7. Demand &amp; Supply Forecast'!Q71)</f>
        <v/>
      </c>
      <c r="I69" s="116" t="str">
        <f ca="1">IF('7. Demand &amp; Supply Forecast'!B71="","",'7. Demand &amp; Supply Forecast'!R71)</f>
        <v/>
      </c>
      <c r="J69" s="118" t="str">
        <f ca="1">IF('7. Demand &amp; Supply Forecast'!B71="","",'7. Demand &amp; Supply Forecast'!S71)</f>
        <v/>
      </c>
      <c r="K69" s="125" t="str">
        <f ca="1">IF('Hidden-Forecast Calculations'!E64="","",'Hidden-Forecast Calculations'!U64)</f>
        <v/>
      </c>
      <c r="L69" s="125" t="str">
        <f ca="1">IF('Hidden-Forecast Calculations'!E64="","",'Hidden-Forecast Calculations'!V64)</f>
        <v/>
      </c>
      <c r="M69" s="125" t="str">
        <f ca="1">IF('Hidden-Forecast Calculations'!E64="","",'Hidden-Forecast Calculations'!W64)</f>
        <v/>
      </c>
      <c r="N69" s="128" t="str">
        <f ca="1">'Hidden-Forecast Calculations'!R64</f>
        <v/>
      </c>
      <c r="O69" s="129" t="str">
        <f ca="1">'Hidden-Forecast Calculations'!S64</f>
        <v/>
      </c>
      <c r="P69" s="130" t="str">
        <f ca="1">'Hidden-Forecast Calculations'!T64</f>
        <v/>
      </c>
      <c r="Q69" s="124" t="str">
        <f ca="1">'Hidden-Forecast Calculations'!H64</f>
        <v/>
      </c>
      <c r="R69" s="124" t="str">
        <f ca="1">IF('Hidden-Forecast Calculations'!I64=0,"",'Hidden-Forecast Calculations'!I64)</f>
        <v/>
      </c>
      <c r="S69" s="131" t="str">
        <f ca="1">'Hidden-Forecast Calculations'!M64</f>
        <v/>
      </c>
    </row>
    <row r="70" spans="2:19" ht="20.100000000000001" customHeight="1" x14ac:dyDescent="0.2">
      <c r="B70" s="123" t="str">
        <f ca="1">'Hidden-Forecast Calculations'!E65</f>
        <v/>
      </c>
      <c r="C70" s="124" t="str">
        <f ca="1">'Hidden-Forecast Calculations'!J65</f>
        <v/>
      </c>
      <c r="D70" s="125" t="str">
        <f ca="1">IF('7. Demand &amp; Supply Forecast'!B72="","",'7. Demand &amp; Supply Forecast'!C72)</f>
        <v/>
      </c>
      <c r="E70" s="126" t="str">
        <f ca="1">IF('7. Demand &amp; Supply Forecast'!B72="","",'7. Demand &amp; Supply Forecast'!G72)</f>
        <v/>
      </c>
      <c r="F70" s="125" t="str">
        <f ca="1">IF('7. Demand &amp; Supply Forecast'!B72="","",'7. Demand &amp; Supply Forecast'!H72)</f>
        <v/>
      </c>
      <c r="G70" s="127" t="str">
        <f ca="1">IF('7. Demand &amp; Supply Forecast'!B72="","",'7. Demand &amp; Supply Forecast'!I72)</f>
        <v/>
      </c>
      <c r="H70" s="117" t="str">
        <f ca="1">IF('7. Demand &amp; Supply Forecast'!B72="","",'7. Demand &amp; Supply Forecast'!Q72)</f>
        <v/>
      </c>
      <c r="I70" s="116" t="str">
        <f ca="1">IF('7. Demand &amp; Supply Forecast'!B72="","",'7. Demand &amp; Supply Forecast'!R72)</f>
        <v/>
      </c>
      <c r="J70" s="118" t="str">
        <f ca="1">IF('7. Demand &amp; Supply Forecast'!B72="","",'7. Demand &amp; Supply Forecast'!S72)</f>
        <v/>
      </c>
      <c r="K70" s="125" t="str">
        <f ca="1">IF('Hidden-Forecast Calculations'!E65="","",'Hidden-Forecast Calculations'!U65)</f>
        <v/>
      </c>
      <c r="L70" s="125" t="str">
        <f ca="1">IF('Hidden-Forecast Calculations'!E65="","",'Hidden-Forecast Calculations'!V65)</f>
        <v/>
      </c>
      <c r="M70" s="125" t="str">
        <f ca="1">IF('Hidden-Forecast Calculations'!E65="","",'Hidden-Forecast Calculations'!W65)</f>
        <v/>
      </c>
      <c r="N70" s="128" t="str">
        <f ca="1">'Hidden-Forecast Calculations'!R65</f>
        <v/>
      </c>
      <c r="O70" s="129" t="str">
        <f ca="1">'Hidden-Forecast Calculations'!S65</f>
        <v/>
      </c>
      <c r="P70" s="130" t="str">
        <f ca="1">'Hidden-Forecast Calculations'!T65</f>
        <v/>
      </c>
      <c r="Q70" s="124" t="str">
        <f ca="1">'Hidden-Forecast Calculations'!H65</f>
        <v/>
      </c>
      <c r="R70" s="124" t="str">
        <f ca="1">IF('Hidden-Forecast Calculations'!I65=0,"",'Hidden-Forecast Calculations'!I65)</f>
        <v/>
      </c>
      <c r="S70" s="131" t="str">
        <f ca="1">'Hidden-Forecast Calculations'!M65</f>
        <v/>
      </c>
    </row>
    <row r="71" spans="2:19" ht="20.100000000000001" customHeight="1" x14ac:dyDescent="0.2">
      <c r="B71" s="123" t="str">
        <f ca="1">'Hidden-Forecast Calculations'!E66</f>
        <v/>
      </c>
      <c r="C71" s="124" t="str">
        <f ca="1">'Hidden-Forecast Calculations'!J66</f>
        <v/>
      </c>
      <c r="D71" s="125" t="str">
        <f ca="1">IF('7. Demand &amp; Supply Forecast'!B73="","",'7. Demand &amp; Supply Forecast'!C73)</f>
        <v/>
      </c>
      <c r="E71" s="126" t="str">
        <f ca="1">IF('7. Demand &amp; Supply Forecast'!B73="","",'7. Demand &amp; Supply Forecast'!G73)</f>
        <v/>
      </c>
      <c r="F71" s="125" t="str">
        <f ca="1">IF('7. Demand &amp; Supply Forecast'!B73="","",'7. Demand &amp; Supply Forecast'!H73)</f>
        <v/>
      </c>
      <c r="G71" s="127" t="str">
        <f ca="1">IF('7. Demand &amp; Supply Forecast'!B73="","",'7. Demand &amp; Supply Forecast'!I73)</f>
        <v/>
      </c>
      <c r="H71" s="117" t="str">
        <f ca="1">IF('7. Demand &amp; Supply Forecast'!B73="","",'7. Demand &amp; Supply Forecast'!Q73)</f>
        <v/>
      </c>
      <c r="I71" s="116" t="str">
        <f ca="1">IF('7. Demand &amp; Supply Forecast'!B73="","",'7. Demand &amp; Supply Forecast'!R73)</f>
        <v/>
      </c>
      <c r="J71" s="118" t="str">
        <f ca="1">IF('7. Demand &amp; Supply Forecast'!B73="","",'7. Demand &amp; Supply Forecast'!S73)</f>
        <v/>
      </c>
      <c r="K71" s="125" t="str">
        <f ca="1">IF('Hidden-Forecast Calculations'!E66="","",'Hidden-Forecast Calculations'!U66)</f>
        <v/>
      </c>
      <c r="L71" s="125" t="str">
        <f ca="1">IF('Hidden-Forecast Calculations'!E66="","",'Hidden-Forecast Calculations'!V66)</f>
        <v/>
      </c>
      <c r="M71" s="125" t="str">
        <f ca="1">IF('Hidden-Forecast Calculations'!E66="","",'Hidden-Forecast Calculations'!W66)</f>
        <v/>
      </c>
      <c r="N71" s="128" t="str">
        <f ca="1">'Hidden-Forecast Calculations'!R66</f>
        <v/>
      </c>
      <c r="O71" s="129" t="str">
        <f ca="1">'Hidden-Forecast Calculations'!S66</f>
        <v/>
      </c>
      <c r="P71" s="130" t="str">
        <f ca="1">'Hidden-Forecast Calculations'!T66</f>
        <v/>
      </c>
      <c r="Q71" s="124" t="str">
        <f ca="1">'Hidden-Forecast Calculations'!H66</f>
        <v/>
      </c>
      <c r="R71" s="124" t="str">
        <f ca="1">IF('Hidden-Forecast Calculations'!I66=0,"",'Hidden-Forecast Calculations'!I66)</f>
        <v/>
      </c>
      <c r="S71" s="131" t="str">
        <f ca="1">'Hidden-Forecast Calculations'!M66</f>
        <v/>
      </c>
    </row>
    <row r="72" spans="2:19" ht="20.100000000000001" customHeight="1" x14ac:dyDescent="0.2">
      <c r="B72" s="123" t="str">
        <f ca="1">'Hidden-Forecast Calculations'!E67</f>
        <v/>
      </c>
      <c r="C72" s="124" t="str">
        <f ca="1">'Hidden-Forecast Calculations'!J67</f>
        <v/>
      </c>
      <c r="D72" s="125" t="str">
        <f ca="1">IF('7. Demand &amp; Supply Forecast'!B74="","",'7. Demand &amp; Supply Forecast'!C74)</f>
        <v/>
      </c>
      <c r="E72" s="126" t="str">
        <f ca="1">IF('7. Demand &amp; Supply Forecast'!B74="","",'7. Demand &amp; Supply Forecast'!G74)</f>
        <v/>
      </c>
      <c r="F72" s="125" t="str">
        <f ca="1">IF('7. Demand &amp; Supply Forecast'!B74="","",'7. Demand &amp; Supply Forecast'!H74)</f>
        <v/>
      </c>
      <c r="G72" s="127" t="str">
        <f ca="1">IF('7. Demand &amp; Supply Forecast'!B74="","",'7. Demand &amp; Supply Forecast'!I74)</f>
        <v/>
      </c>
      <c r="H72" s="117" t="str">
        <f ca="1">IF('7. Demand &amp; Supply Forecast'!B74="","",'7. Demand &amp; Supply Forecast'!Q74)</f>
        <v/>
      </c>
      <c r="I72" s="116" t="str">
        <f ca="1">IF('7. Demand &amp; Supply Forecast'!B74="","",'7. Demand &amp; Supply Forecast'!R74)</f>
        <v/>
      </c>
      <c r="J72" s="118" t="str">
        <f ca="1">IF('7. Demand &amp; Supply Forecast'!B74="","",'7. Demand &amp; Supply Forecast'!S74)</f>
        <v/>
      </c>
      <c r="K72" s="125" t="str">
        <f ca="1">IF('Hidden-Forecast Calculations'!E67="","",'Hidden-Forecast Calculations'!U67)</f>
        <v/>
      </c>
      <c r="L72" s="125" t="str">
        <f ca="1">IF('Hidden-Forecast Calculations'!E67="","",'Hidden-Forecast Calculations'!V67)</f>
        <v/>
      </c>
      <c r="M72" s="125" t="str">
        <f ca="1">IF('Hidden-Forecast Calculations'!E67="","",'Hidden-Forecast Calculations'!W67)</f>
        <v/>
      </c>
      <c r="N72" s="128" t="str">
        <f ca="1">'Hidden-Forecast Calculations'!R67</f>
        <v/>
      </c>
      <c r="O72" s="129" t="str">
        <f ca="1">'Hidden-Forecast Calculations'!S67</f>
        <v/>
      </c>
      <c r="P72" s="130" t="str">
        <f ca="1">'Hidden-Forecast Calculations'!T67</f>
        <v/>
      </c>
      <c r="Q72" s="124" t="str">
        <f ca="1">'Hidden-Forecast Calculations'!H67</f>
        <v/>
      </c>
      <c r="R72" s="124" t="str">
        <f ca="1">IF('Hidden-Forecast Calculations'!I67=0,"",'Hidden-Forecast Calculations'!I67)</f>
        <v/>
      </c>
      <c r="S72" s="131" t="str">
        <f ca="1">'Hidden-Forecast Calculations'!M67</f>
        <v/>
      </c>
    </row>
    <row r="73" spans="2:19" ht="20.100000000000001" customHeight="1" x14ac:dyDescent="0.2">
      <c r="B73" s="123" t="str">
        <f ca="1">'Hidden-Forecast Calculations'!E68</f>
        <v/>
      </c>
      <c r="C73" s="124" t="str">
        <f ca="1">'Hidden-Forecast Calculations'!J68</f>
        <v/>
      </c>
      <c r="D73" s="125" t="str">
        <f ca="1">IF('7. Demand &amp; Supply Forecast'!B75="","",'7. Demand &amp; Supply Forecast'!C75)</f>
        <v/>
      </c>
      <c r="E73" s="126" t="str">
        <f ca="1">IF('7. Demand &amp; Supply Forecast'!B75="","",'7. Demand &amp; Supply Forecast'!G75)</f>
        <v/>
      </c>
      <c r="F73" s="125" t="str">
        <f ca="1">IF('7. Demand &amp; Supply Forecast'!B75="","",'7. Demand &amp; Supply Forecast'!H75)</f>
        <v/>
      </c>
      <c r="G73" s="127" t="str">
        <f ca="1">IF('7. Demand &amp; Supply Forecast'!B75="","",'7. Demand &amp; Supply Forecast'!I75)</f>
        <v/>
      </c>
      <c r="H73" s="117" t="str">
        <f ca="1">IF('7. Demand &amp; Supply Forecast'!B75="","",'7. Demand &amp; Supply Forecast'!Q75)</f>
        <v/>
      </c>
      <c r="I73" s="116" t="str">
        <f ca="1">IF('7. Demand &amp; Supply Forecast'!B75="","",'7. Demand &amp; Supply Forecast'!R75)</f>
        <v/>
      </c>
      <c r="J73" s="118" t="str">
        <f ca="1">IF('7. Demand &amp; Supply Forecast'!B75="","",'7. Demand &amp; Supply Forecast'!S75)</f>
        <v/>
      </c>
      <c r="K73" s="125" t="str">
        <f ca="1">IF('Hidden-Forecast Calculations'!E68="","",'Hidden-Forecast Calculations'!U68)</f>
        <v/>
      </c>
      <c r="L73" s="125" t="str">
        <f ca="1">IF('Hidden-Forecast Calculations'!E68="","",'Hidden-Forecast Calculations'!V68)</f>
        <v/>
      </c>
      <c r="M73" s="125" t="str">
        <f ca="1">IF('Hidden-Forecast Calculations'!E68="","",'Hidden-Forecast Calculations'!W68)</f>
        <v/>
      </c>
      <c r="N73" s="128" t="str">
        <f ca="1">'Hidden-Forecast Calculations'!R68</f>
        <v/>
      </c>
      <c r="O73" s="129" t="str">
        <f ca="1">'Hidden-Forecast Calculations'!S68</f>
        <v/>
      </c>
      <c r="P73" s="130" t="str">
        <f ca="1">'Hidden-Forecast Calculations'!T68</f>
        <v/>
      </c>
      <c r="Q73" s="124" t="str">
        <f ca="1">'Hidden-Forecast Calculations'!H68</f>
        <v/>
      </c>
      <c r="R73" s="124" t="str">
        <f ca="1">IF('Hidden-Forecast Calculations'!I68=0,"",'Hidden-Forecast Calculations'!I68)</f>
        <v/>
      </c>
      <c r="S73" s="131" t="str">
        <f ca="1">'Hidden-Forecast Calculations'!M68</f>
        <v/>
      </c>
    </row>
    <row r="74" spans="2:19" ht="20.100000000000001" customHeight="1" x14ac:dyDescent="0.2">
      <c r="B74" s="123" t="str">
        <f ca="1">'Hidden-Forecast Calculations'!E69</f>
        <v/>
      </c>
      <c r="C74" s="124" t="str">
        <f ca="1">'Hidden-Forecast Calculations'!J69</f>
        <v/>
      </c>
      <c r="D74" s="125" t="str">
        <f ca="1">IF('7. Demand &amp; Supply Forecast'!B76="","",'7. Demand &amp; Supply Forecast'!C76)</f>
        <v/>
      </c>
      <c r="E74" s="126" t="str">
        <f ca="1">IF('7. Demand &amp; Supply Forecast'!B76="","",'7. Demand &amp; Supply Forecast'!G76)</f>
        <v/>
      </c>
      <c r="F74" s="125" t="str">
        <f ca="1">IF('7. Demand &amp; Supply Forecast'!B76="","",'7. Demand &amp; Supply Forecast'!H76)</f>
        <v/>
      </c>
      <c r="G74" s="127" t="str">
        <f ca="1">IF('7. Demand &amp; Supply Forecast'!B76="","",'7. Demand &amp; Supply Forecast'!I76)</f>
        <v/>
      </c>
      <c r="H74" s="117" t="str">
        <f ca="1">IF('7. Demand &amp; Supply Forecast'!B76="","",'7. Demand &amp; Supply Forecast'!Q76)</f>
        <v/>
      </c>
      <c r="I74" s="116" t="str">
        <f ca="1">IF('7. Demand &amp; Supply Forecast'!B76="","",'7. Demand &amp; Supply Forecast'!R76)</f>
        <v/>
      </c>
      <c r="J74" s="118" t="str">
        <f ca="1">IF('7. Demand &amp; Supply Forecast'!B76="","",'7. Demand &amp; Supply Forecast'!S76)</f>
        <v/>
      </c>
      <c r="K74" s="125" t="str">
        <f ca="1">IF('Hidden-Forecast Calculations'!E69="","",'Hidden-Forecast Calculations'!U69)</f>
        <v/>
      </c>
      <c r="L74" s="125" t="str">
        <f ca="1">IF('Hidden-Forecast Calculations'!E69="","",'Hidden-Forecast Calculations'!V69)</f>
        <v/>
      </c>
      <c r="M74" s="125" t="str">
        <f ca="1">IF('Hidden-Forecast Calculations'!E69="","",'Hidden-Forecast Calculations'!W69)</f>
        <v/>
      </c>
      <c r="N74" s="128" t="str">
        <f ca="1">'Hidden-Forecast Calculations'!R69</f>
        <v/>
      </c>
      <c r="O74" s="129" t="str">
        <f ca="1">'Hidden-Forecast Calculations'!S69</f>
        <v/>
      </c>
      <c r="P74" s="130" t="str">
        <f ca="1">'Hidden-Forecast Calculations'!T69</f>
        <v/>
      </c>
      <c r="Q74" s="124" t="str">
        <f ca="1">'Hidden-Forecast Calculations'!H69</f>
        <v/>
      </c>
      <c r="R74" s="124" t="str">
        <f ca="1">IF('Hidden-Forecast Calculations'!I69=0,"",'Hidden-Forecast Calculations'!I69)</f>
        <v/>
      </c>
      <c r="S74" s="131" t="str">
        <f ca="1">'Hidden-Forecast Calculations'!M69</f>
        <v/>
      </c>
    </row>
    <row r="75" spans="2:19" ht="20.100000000000001" customHeight="1" x14ac:dyDescent="0.2">
      <c r="B75" s="123" t="str">
        <f ca="1">'Hidden-Forecast Calculations'!E70</f>
        <v/>
      </c>
      <c r="C75" s="124" t="str">
        <f ca="1">'Hidden-Forecast Calculations'!J70</f>
        <v/>
      </c>
      <c r="D75" s="125" t="str">
        <f ca="1">IF('7. Demand &amp; Supply Forecast'!B77="","",'7. Demand &amp; Supply Forecast'!C77)</f>
        <v/>
      </c>
      <c r="E75" s="126" t="str">
        <f ca="1">IF('7. Demand &amp; Supply Forecast'!B77="","",'7. Demand &amp; Supply Forecast'!G77)</f>
        <v/>
      </c>
      <c r="F75" s="125" t="str">
        <f ca="1">IF('7. Demand &amp; Supply Forecast'!B77="","",'7. Demand &amp; Supply Forecast'!H77)</f>
        <v/>
      </c>
      <c r="G75" s="127" t="str">
        <f ca="1">IF('7. Demand &amp; Supply Forecast'!B77="","",'7. Demand &amp; Supply Forecast'!I77)</f>
        <v/>
      </c>
      <c r="H75" s="117" t="str">
        <f ca="1">IF('7. Demand &amp; Supply Forecast'!B77="","",'7. Demand &amp; Supply Forecast'!Q77)</f>
        <v/>
      </c>
      <c r="I75" s="116" t="str">
        <f ca="1">IF('7. Demand &amp; Supply Forecast'!B77="","",'7. Demand &amp; Supply Forecast'!R77)</f>
        <v/>
      </c>
      <c r="J75" s="118" t="str">
        <f ca="1">IF('7. Demand &amp; Supply Forecast'!B77="","",'7. Demand &amp; Supply Forecast'!S77)</f>
        <v/>
      </c>
      <c r="K75" s="125" t="str">
        <f ca="1">IF('Hidden-Forecast Calculations'!E70="","",'Hidden-Forecast Calculations'!U70)</f>
        <v/>
      </c>
      <c r="L75" s="125" t="str">
        <f ca="1">IF('Hidden-Forecast Calculations'!E70="","",'Hidden-Forecast Calculations'!V70)</f>
        <v/>
      </c>
      <c r="M75" s="125" t="str">
        <f ca="1">IF('Hidden-Forecast Calculations'!E70="","",'Hidden-Forecast Calculations'!W70)</f>
        <v/>
      </c>
      <c r="N75" s="128" t="str">
        <f ca="1">'Hidden-Forecast Calculations'!R70</f>
        <v/>
      </c>
      <c r="O75" s="129" t="str">
        <f ca="1">'Hidden-Forecast Calculations'!S70</f>
        <v/>
      </c>
      <c r="P75" s="130" t="str">
        <f ca="1">'Hidden-Forecast Calculations'!T70</f>
        <v/>
      </c>
      <c r="Q75" s="124" t="str">
        <f ca="1">'Hidden-Forecast Calculations'!H70</f>
        <v/>
      </c>
      <c r="R75" s="124" t="str">
        <f ca="1">IF('Hidden-Forecast Calculations'!I70=0,"",'Hidden-Forecast Calculations'!I70)</f>
        <v/>
      </c>
      <c r="S75" s="131" t="str">
        <f ca="1">'Hidden-Forecast Calculations'!M70</f>
        <v/>
      </c>
    </row>
    <row r="76" spans="2:19" ht="20.100000000000001" customHeight="1" x14ac:dyDescent="0.2">
      <c r="B76" s="123" t="str">
        <f ca="1">'Hidden-Forecast Calculations'!E71</f>
        <v/>
      </c>
      <c r="C76" s="124" t="str">
        <f ca="1">'Hidden-Forecast Calculations'!J71</f>
        <v/>
      </c>
      <c r="D76" s="125" t="str">
        <f ca="1">IF('7. Demand &amp; Supply Forecast'!B78="","",'7. Demand &amp; Supply Forecast'!C78)</f>
        <v/>
      </c>
      <c r="E76" s="126" t="str">
        <f ca="1">IF('7. Demand &amp; Supply Forecast'!B78="","",'7. Demand &amp; Supply Forecast'!G78)</f>
        <v/>
      </c>
      <c r="F76" s="125" t="str">
        <f ca="1">IF('7. Demand &amp; Supply Forecast'!B78="","",'7. Demand &amp; Supply Forecast'!H78)</f>
        <v/>
      </c>
      <c r="G76" s="127" t="str">
        <f ca="1">IF('7. Demand &amp; Supply Forecast'!B78="","",'7. Demand &amp; Supply Forecast'!I78)</f>
        <v/>
      </c>
      <c r="H76" s="117" t="str">
        <f ca="1">IF('7. Demand &amp; Supply Forecast'!B78="","",'7. Demand &amp; Supply Forecast'!Q78)</f>
        <v/>
      </c>
      <c r="I76" s="116" t="str">
        <f ca="1">IF('7. Demand &amp; Supply Forecast'!B78="","",'7. Demand &amp; Supply Forecast'!R78)</f>
        <v/>
      </c>
      <c r="J76" s="118" t="str">
        <f ca="1">IF('7. Demand &amp; Supply Forecast'!B78="","",'7. Demand &amp; Supply Forecast'!S78)</f>
        <v/>
      </c>
      <c r="K76" s="125" t="str">
        <f ca="1">IF('Hidden-Forecast Calculations'!E71="","",'Hidden-Forecast Calculations'!U71)</f>
        <v/>
      </c>
      <c r="L76" s="125" t="str">
        <f ca="1">IF('Hidden-Forecast Calculations'!E71="","",'Hidden-Forecast Calculations'!V71)</f>
        <v/>
      </c>
      <c r="M76" s="125" t="str">
        <f ca="1">IF('Hidden-Forecast Calculations'!E71="","",'Hidden-Forecast Calculations'!W71)</f>
        <v/>
      </c>
      <c r="N76" s="128" t="str">
        <f ca="1">'Hidden-Forecast Calculations'!R71</f>
        <v/>
      </c>
      <c r="O76" s="129" t="str">
        <f ca="1">'Hidden-Forecast Calculations'!S71</f>
        <v/>
      </c>
      <c r="P76" s="130" t="str">
        <f ca="1">'Hidden-Forecast Calculations'!T71</f>
        <v/>
      </c>
      <c r="Q76" s="124" t="str">
        <f ca="1">'Hidden-Forecast Calculations'!H71</f>
        <v/>
      </c>
      <c r="R76" s="124" t="str">
        <f ca="1">IF('Hidden-Forecast Calculations'!I71=0,"",'Hidden-Forecast Calculations'!I71)</f>
        <v/>
      </c>
      <c r="S76" s="131" t="str">
        <f ca="1">'Hidden-Forecast Calculations'!M71</f>
        <v/>
      </c>
    </row>
    <row r="77" spans="2:19" ht="20.100000000000001" customHeight="1" x14ac:dyDescent="0.2">
      <c r="B77" s="123" t="str">
        <f ca="1">'Hidden-Forecast Calculations'!E72</f>
        <v/>
      </c>
      <c r="C77" s="124" t="str">
        <f ca="1">'Hidden-Forecast Calculations'!J72</f>
        <v/>
      </c>
      <c r="D77" s="125" t="str">
        <f ca="1">IF('7. Demand &amp; Supply Forecast'!B79="","",'7. Demand &amp; Supply Forecast'!C79)</f>
        <v/>
      </c>
      <c r="E77" s="126" t="str">
        <f ca="1">IF('7. Demand &amp; Supply Forecast'!B79="","",'7. Demand &amp; Supply Forecast'!G79)</f>
        <v/>
      </c>
      <c r="F77" s="125" t="str">
        <f ca="1">IF('7. Demand &amp; Supply Forecast'!B79="","",'7. Demand &amp; Supply Forecast'!H79)</f>
        <v/>
      </c>
      <c r="G77" s="127" t="str">
        <f ca="1">IF('7. Demand &amp; Supply Forecast'!B79="","",'7. Demand &amp; Supply Forecast'!I79)</f>
        <v/>
      </c>
      <c r="H77" s="117" t="str">
        <f ca="1">IF('7. Demand &amp; Supply Forecast'!B79="","",'7. Demand &amp; Supply Forecast'!Q79)</f>
        <v/>
      </c>
      <c r="I77" s="116" t="str">
        <f ca="1">IF('7. Demand &amp; Supply Forecast'!B79="","",'7. Demand &amp; Supply Forecast'!R79)</f>
        <v/>
      </c>
      <c r="J77" s="118" t="str">
        <f ca="1">IF('7. Demand &amp; Supply Forecast'!B79="","",'7. Demand &amp; Supply Forecast'!S79)</f>
        <v/>
      </c>
      <c r="K77" s="125" t="str">
        <f ca="1">IF('Hidden-Forecast Calculations'!E72="","",'Hidden-Forecast Calculations'!U72)</f>
        <v/>
      </c>
      <c r="L77" s="125" t="str">
        <f ca="1">IF('Hidden-Forecast Calculations'!E72="","",'Hidden-Forecast Calculations'!V72)</f>
        <v/>
      </c>
      <c r="M77" s="125" t="str">
        <f ca="1">IF('Hidden-Forecast Calculations'!E72="","",'Hidden-Forecast Calculations'!W72)</f>
        <v/>
      </c>
      <c r="N77" s="128" t="str">
        <f ca="1">'Hidden-Forecast Calculations'!R72</f>
        <v/>
      </c>
      <c r="O77" s="129" t="str">
        <f ca="1">'Hidden-Forecast Calculations'!S72</f>
        <v/>
      </c>
      <c r="P77" s="130" t="str">
        <f ca="1">'Hidden-Forecast Calculations'!T72</f>
        <v/>
      </c>
      <c r="Q77" s="124" t="str">
        <f ca="1">'Hidden-Forecast Calculations'!H72</f>
        <v/>
      </c>
      <c r="R77" s="124" t="str">
        <f ca="1">IF('Hidden-Forecast Calculations'!I72=0,"",'Hidden-Forecast Calculations'!I72)</f>
        <v/>
      </c>
      <c r="S77" s="131" t="str">
        <f ca="1">'Hidden-Forecast Calculations'!M72</f>
        <v/>
      </c>
    </row>
    <row r="78" spans="2:19" ht="20.100000000000001" customHeight="1" x14ac:dyDescent="0.2">
      <c r="B78" s="123" t="str">
        <f ca="1">'Hidden-Forecast Calculations'!E73</f>
        <v/>
      </c>
      <c r="C78" s="124" t="str">
        <f ca="1">'Hidden-Forecast Calculations'!J73</f>
        <v/>
      </c>
      <c r="D78" s="125" t="str">
        <f ca="1">IF('7. Demand &amp; Supply Forecast'!B80="","",'7. Demand &amp; Supply Forecast'!C80)</f>
        <v/>
      </c>
      <c r="E78" s="126" t="str">
        <f ca="1">IF('7. Demand &amp; Supply Forecast'!B80="","",'7. Demand &amp; Supply Forecast'!G80)</f>
        <v/>
      </c>
      <c r="F78" s="125" t="str">
        <f ca="1">IF('7. Demand &amp; Supply Forecast'!B80="","",'7. Demand &amp; Supply Forecast'!H80)</f>
        <v/>
      </c>
      <c r="G78" s="127" t="str">
        <f ca="1">IF('7. Demand &amp; Supply Forecast'!B80="","",'7. Demand &amp; Supply Forecast'!I80)</f>
        <v/>
      </c>
      <c r="H78" s="117" t="str">
        <f ca="1">IF('7. Demand &amp; Supply Forecast'!B80="","",'7. Demand &amp; Supply Forecast'!Q80)</f>
        <v/>
      </c>
      <c r="I78" s="116" t="str">
        <f ca="1">IF('7. Demand &amp; Supply Forecast'!B80="","",'7. Demand &amp; Supply Forecast'!R80)</f>
        <v/>
      </c>
      <c r="J78" s="118" t="str">
        <f ca="1">IF('7. Demand &amp; Supply Forecast'!B80="","",'7. Demand &amp; Supply Forecast'!S80)</f>
        <v/>
      </c>
      <c r="K78" s="125" t="str">
        <f ca="1">IF('Hidden-Forecast Calculations'!E73="","",'Hidden-Forecast Calculations'!U73)</f>
        <v/>
      </c>
      <c r="L78" s="125" t="str">
        <f ca="1">IF('Hidden-Forecast Calculations'!E73="","",'Hidden-Forecast Calculations'!V73)</f>
        <v/>
      </c>
      <c r="M78" s="125" t="str">
        <f ca="1">IF('Hidden-Forecast Calculations'!E73="","",'Hidden-Forecast Calculations'!W73)</f>
        <v/>
      </c>
      <c r="N78" s="128" t="str">
        <f ca="1">'Hidden-Forecast Calculations'!R73</f>
        <v/>
      </c>
      <c r="O78" s="129" t="str">
        <f ca="1">'Hidden-Forecast Calculations'!S73</f>
        <v/>
      </c>
      <c r="P78" s="130" t="str">
        <f ca="1">'Hidden-Forecast Calculations'!T73</f>
        <v/>
      </c>
      <c r="Q78" s="124" t="str">
        <f ca="1">'Hidden-Forecast Calculations'!H73</f>
        <v/>
      </c>
      <c r="R78" s="124" t="str">
        <f ca="1">IF('Hidden-Forecast Calculations'!I73=0,"",'Hidden-Forecast Calculations'!I73)</f>
        <v/>
      </c>
      <c r="S78" s="131" t="str">
        <f ca="1">'Hidden-Forecast Calculations'!M73</f>
        <v/>
      </c>
    </row>
    <row r="79" spans="2:19" ht="20.100000000000001" customHeight="1" x14ac:dyDescent="0.2">
      <c r="B79" s="123" t="str">
        <f ca="1">'Hidden-Forecast Calculations'!E74</f>
        <v/>
      </c>
      <c r="C79" s="124" t="str">
        <f ca="1">'Hidden-Forecast Calculations'!J74</f>
        <v/>
      </c>
      <c r="D79" s="125" t="str">
        <f ca="1">IF('7. Demand &amp; Supply Forecast'!B81="","",'7. Demand &amp; Supply Forecast'!C81)</f>
        <v/>
      </c>
      <c r="E79" s="126" t="str">
        <f ca="1">IF('7. Demand &amp; Supply Forecast'!B81="","",'7. Demand &amp; Supply Forecast'!G81)</f>
        <v/>
      </c>
      <c r="F79" s="125" t="str">
        <f ca="1">IF('7. Demand &amp; Supply Forecast'!B81="","",'7. Demand &amp; Supply Forecast'!H81)</f>
        <v/>
      </c>
      <c r="G79" s="127" t="str">
        <f ca="1">IF('7. Demand &amp; Supply Forecast'!B81="","",'7. Demand &amp; Supply Forecast'!I81)</f>
        <v/>
      </c>
      <c r="H79" s="117" t="str">
        <f ca="1">IF('7. Demand &amp; Supply Forecast'!B81="","",'7. Demand &amp; Supply Forecast'!Q81)</f>
        <v/>
      </c>
      <c r="I79" s="116" t="str">
        <f ca="1">IF('7. Demand &amp; Supply Forecast'!B81="","",'7. Demand &amp; Supply Forecast'!R81)</f>
        <v/>
      </c>
      <c r="J79" s="118" t="str">
        <f ca="1">IF('7. Demand &amp; Supply Forecast'!B81="","",'7. Demand &amp; Supply Forecast'!S81)</f>
        <v/>
      </c>
      <c r="K79" s="125" t="str">
        <f ca="1">IF('Hidden-Forecast Calculations'!E74="","",'Hidden-Forecast Calculations'!U74)</f>
        <v/>
      </c>
      <c r="L79" s="125" t="str">
        <f ca="1">IF('Hidden-Forecast Calculations'!E74="","",'Hidden-Forecast Calculations'!V74)</f>
        <v/>
      </c>
      <c r="M79" s="125" t="str">
        <f ca="1">IF('Hidden-Forecast Calculations'!E74="","",'Hidden-Forecast Calculations'!W74)</f>
        <v/>
      </c>
      <c r="N79" s="128" t="str">
        <f ca="1">'Hidden-Forecast Calculations'!R74</f>
        <v/>
      </c>
      <c r="O79" s="129" t="str">
        <f ca="1">'Hidden-Forecast Calculations'!S74</f>
        <v/>
      </c>
      <c r="P79" s="130" t="str">
        <f ca="1">'Hidden-Forecast Calculations'!T74</f>
        <v/>
      </c>
      <c r="Q79" s="124" t="str">
        <f ca="1">'Hidden-Forecast Calculations'!H74</f>
        <v/>
      </c>
      <c r="R79" s="124" t="str">
        <f ca="1">IF('Hidden-Forecast Calculations'!I74=0,"",'Hidden-Forecast Calculations'!I74)</f>
        <v/>
      </c>
      <c r="S79" s="131" t="str">
        <f ca="1">'Hidden-Forecast Calculations'!M74</f>
        <v/>
      </c>
    </row>
    <row r="80" spans="2:19" ht="20.100000000000001" customHeight="1" x14ac:dyDescent="0.2">
      <c r="B80" s="123" t="str">
        <f ca="1">'Hidden-Forecast Calculations'!E75</f>
        <v/>
      </c>
      <c r="C80" s="124" t="str">
        <f ca="1">'Hidden-Forecast Calculations'!J75</f>
        <v/>
      </c>
      <c r="D80" s="125" t="str">
        <f ca="1">IF('7. Demand &amp; Supply Forecast'!B82="","",'7. Demand &amp; Supply Forecast'!C82)</f>
        <v/>
      </c>
      <c r="E80" s="126" t="str">
        <f ca="1">IF('7. Demand &amp; Supply Forecast'!B82="","",'7. Demand &amp; Supply Forecast'!G82)</f>
        <v/>
      </c>
      <c r="F80" s="125" t="str">
        <f ca="1">IF('7. Demand &amp; Supply Forecast'!B82="","",'7. Demand &amp; Supply Forecast'!H82)</f>
        <v/>
      </c>
      <c r="G80" s="127" t="str">
        <f ca="1">IF('7. Demand &amp; Supply Forecast'!B82="","",'7. Demand &amp; Supply Forecast'!I82)</f>
        <v/>
      </c>
      <c r="H80" s="117" t="str">
        <f ca="1">IF('7. Demand &amp; Supply Forecast'!B82="","",'7. Demand &amp; Supply Forecast'!Q82)</f>
        <v/>
      </c>
      <c r="I80" s="116" t="str">
        <f ca="1">IF('7. Demand &amp; Supply Forecast'!B82="","",'7. Demand &amp; Supply Forecast'!R82)</f>
        <v/>
      </c>
      <c r="J80" s="118" t="str">
        <f ca="1">IF('7. Demand &amp; Supply Forecast'!B82="","",'7. Demand &amp; Supply Forecast'!S82)</f>
        <v/>
      </c>
      <c r="K80" s="125" t="str">
        <f ca="1">IF('Hidden-Forecast Calculations'!E75="","",'Hidden-Forecast Calculations'!U75)</f>
        <v/>
      </c>
      <c r="L80" s="125" t="str">
        <f ca="1">IF('Hidden-Forecast Calculations'!E75="","",'Hidden-Forecast Calculations'!V75)</f>
        <v/>
      </c>
      <c r="M80" s="125" t="str">
        <f ca="1">IF('Hidden-Forecast Calculations'!E75="","",'Hidden-Forecast Calculations'!W75)</f>
        <v/>
      </c>
      <c r="N80" s="128" t="str">
        <f ca="1">'Hidden-Forecast Calculations'!R75</f>
        <v/>
      </c>
      <c r="O80" s="129" t="str">
        <f ca="1">'Hidden-Forecast Calculations'!S75</f>
        <v/>
      </c>
      <c r="P80" s="130" t="str">
        <f ca="1">'Hidden-Forecast Calculations'!T75</f>
        <v/>
      </c>
      <c r="Q80" s="124" t="str">
        <f ca="1">'Hidden-Forecast Calculations'!H75</f>
        <v/>
      </c>
      <c r="R80" s="124" t="str">
        <f ca="1">IF('Hidden-Forecast Calculations'!I75=0,"",'Hidden-Forecast Calculations'!I75)</f>
        <v/>
      </c>
      <c r="S80" s="131" t="str">
        <f ca="1">'Hidden-Forecast Calculations'!M75</f>
        <v/>
      </c>
    </row>
    <row r="81" spans="2:19" ht="20.100000000000001" customHeight="1" x14ac:dyDescent="0.2">
      <c r="B81" s="123" t="str">
        <f ca="1">'Hidden-Forecast Calculations'!E76</f>
        <v/>
      </c>
      <c r="C81" s="124" t="str">
        <f ca="1">'Hidden-Forecast Calculations'!J76</f>
        <v/>
      </c>
      <c r="D81" s="125" t="str">
        <f ca="1">IF('7. Demand &amp; Supply Forecast'!B83="","",'7. Demand &amp; Supply Forecast'!C83)</f>
        <v/>
      </c>
      <c r="E81" s="126" t="str">
        <f ca="1">IF('7. Demand &amp; Supply Forecast'!B83="","",'7. Demand &amp; Supply Forecast'!G83)</f>
        <v/>
      </c>
      <c r="F81" s="125" t="str">
        <f ca="1">IF('7. Demand &amp; Supply Forecast'!B83="","",'7. Demand &amp; Supply Forecast'!H83)</f>
        <v/>
      </c>
      <c r="G81" s="127" t="str">
        <f ca="1">IF('7. Demand &amp; Supply Forecast'!B83="","",'7. Demand &amp; Supply Forecast'!I83)</f>
        <v/>
      </c>
      <c r="H81" s="117" t="str">
        <f ca="1">IF('7. Demand &amp; Supply Forecast'!B83="","",'7. Demand &amp; Supply Forecast'!Q83)</f>
        <v/>
      </c>
      <c r="I81" s="116" t="str">
        <f ca="1">IF('7. Demand &amp; Supply Forecast'!B83="","",'7. Demand &amp; Supply Forecast'!R83)</f>
        <v/>
      </c>
      <c r="J81" s="118" t="str">
        <f ca="1">IF('7. Demand &amp; Supply Forecast'!B83="","",'7. Demand &amp; Supply Forecast'!S83)</f>
        <v/>
      </c>
      <c r="K81" s="125" t="str">
        <f ca="1">IF('Hidden-Forecast Calculations'!E76="","",'Hidden-Forecast Calculations'!U76)</f>
        <v/>
      </c>
      <c r="L81" s="125" t="str">
        <f ca="1">IF('Hidden-Forecast Calculations'!E76="","",'Hidden-Forecast Calculations'!V76)</f>
        <v/>
      </c>
      <c r="M81" s="125" t="str">
        <f ca="1">IF('Hidden-Forecast Calculations'!E76="","",'Hidden-Forecast Calculations'!W76)</f>
        <v/>
      </c>
      <c r="N81" s="128" t="str">
        <f ca="1">'Hidden-Forecast Calculations'!R76</f>
        <v/>
      </c>
      <c r="O81" s="129" t="str">
        <f ca="1">'Hidden-Forecast Calculations'!S76</f>
        <v/>
      </c>
      <c r="P81" s="130" t="str">
        <f ca="1">'Hidden-Forecast Calculations'!T76</f>
        <v/>
      </c>
      <c r="Q81" s="124" t="str">
        <f ca="1">'Hidden-Forecast Calculations'!H76</f>
        <v/>
      </c>
      <c r="R81" s="124" t="str">
        <f ca="1">IF('Hidden-Forecast Calculations'!I76=0,"",'Hidden-Forecast Calculations'!I76)</f>
        <v/>
      </c>
      <c r="S81" s="131" t="str">
        <f ca="1">'Hidden-Forecast Calculations'!M76</f>
        <v/>
      </c>
    </row>
    <row r="82" spans="2:19" ht="20.100000000000001" customHeight="1" x14ac:dyDescent="0.2">
      <c r="B82" s="123" t="str">
        <f ca="1">'Hidden-Forecast Calculations'!E77</f>
        <v/>
      </c>
      <c r="C82" s="124" t="str">
        <f ca="1">'Hidden-Forecast Calculations'!J77</f>
        <v/>
      </c>
      <c r="D82" s="125" t="str">
        <f ca="1">IF('7. Demand &amp; Supply Forecast'!B84="","",'7. Demand &amp; Supply Forecast'!C84)</f>
        <v/>
      </c>
      <c r="E82" s="126" t="str">
        <f ca="1">IF('7. Demand &amp; Supply Forecast'!B84="","",'7. Demand &amp; Supply Forecast'!G84)</f>
        <v/>
      </c>
      <c r="F82" s="125" t="str">
        <f ca="1">IF('7. Demand &amp; Supply Forecast'!B84="","",'7. Demand &amp; Supply Forecast'!H84)</f>
        <v/>
      </c>
      <c r="G82" s="127" t="str">
        <f ca="1">IF('7. Demand &amp; Supply Forecast'!B84="","",'7. Demand &amp; Supply Forecast'!I84)</f>
        <v/>
      </c>
      <c r="H82" s="117" t="str">
        <f ca="1">IF('7. Demand &amp; Supply Forecast'!B84="","",'7. Demand &amp; Supply Forecast'!Q84)</f>
        <v/>
      </c>
      <c r="I82" s="116" t="str">
        <f ca="1">IF('7. Demand &amp; Supply Forecast'!B84="","",'7. Demand &amp; Supply Forecast'!R84)</f>
        <v/>
      </c>
      <c r="J82" s="118" t="str">
        <f ca="1">IF('7. Demand &amp; Supply Forecast'!B84="","",'7. Demand &amp; Supply Forecast'!S84)</f>
        <v/>
      </c>
      <c r="K82" s="125" t="str">
        <f ca="1">IF('Hidden-Forecast Calculations'!E77="","",'Hidden-Forecast Calculations'!U77)</f>
        <v/>
      </c>
      <c r="L82" s="125" t="str">
        <f ca="1">IF('Hidden-Forecast Calculations'!E77="","",'Hidden-Forecast Calculations'!V77)</f>
        <v/>
      </c>
      <c r="M82" s="125" t="str">
        <f ca="1">IF('Hidden-Forecast Calculations'!E77="","",'Hidden-Forecast Calculations'!W77)</f>
        <v/>
      </c>
      <c r="N82" s="128" t="str">
        <f ca="1">'Hidden-Forecast Calculations'!R77</f>
        <v/>
      </c>
      <c r="O82" s="129" t="str">
        <f ca="1">'Hidden-Forecast Calculations'!S77</f>
        <v/>
      </c>
      <c r="P82" s="130" t="str">
        <f ca="1">'Hidden-Forecast Calculations'!T77</f>
        <v/>
      </c>
      <c r="Q82" s="124" t="str">
        <f ca="1">'Hidden-Forecast Calculations'!H77</f>
        <v/>
      </c>
      <c r="R82" s="124" t="str">
        <f ca="1">IF('Hidden-Forecast Calculations'!I77=0,"",'Hidden-Forecast Calculations'!I77)</f>
        <v/>
      </c>
      <c r="S82" s="131" t="str">
        <f ca="1">'Hidden-Forecast Calculations'!M77</f>
        <v/>
      </c>
    </row>
    <row r="83" spans="2:19" ht="20.100000000000001" customHeight="1" x14ac:dyDescent="0.2">
      <c r="B83" s="123" t="str">
        <f ca="1">'Hidden-Forecast Calculations'!E78</f>
        <v/>
      </c>
      <c r="C83" s="124" t="str">
        <f ca="1">'Hidden-Forecast Calculations'!J78</f>
        <v/>
      </c>
      <c r="D83" s="125" t="str">
        <f ca="1">IF('7. Demand &amp; Supply Forecast'!B85="","",'7. Demand &amp; Supply Forecast'!C85)</f>
        <v/>
      </c>
      <c r="E83" s="126" t="str">
        <f ca="1">IF('7. Demand &amp; Supply Forecast'!B85="","",'7. Demand &amp; Supply Forecast'!G85)</f>
        <v/>
      </c>
      <c r="F83" s="125" t="str">
        <f ca="1">IF('7. Demand &amp; Supply Forecast'!B85="","",'7. Demand &amp; Supply Forecast'!H85)</f>
        <v/>
      </c>
      <c r="G83" s="127" t="str">
        <f ca="1">IF('7. Demand &amp; Supply Forecast'!B85="","",'7. Demand &amp; Supply Forecast'!I85)</f>
        <v/>
      </c>
      <c r="H83" s="117" t="str">
        <f ca="1">IF('7. Demand &amp; Supply Forecast'!B85="","",'7. Demand &amp; Supply Forecast'!Q85)</f>
        <v/>
      </c>
      <c r="I83" s="116" t="str">
        <f ca="1">IF('7. Demand &amp; Supply Forecast'!B85="","",'7. Demand &amp; Supply Forecast'!R85)</f>
        <v/>
      </c>
      <c r="J83" s="118" t="str">
        <f ca="1">IF('7. Demand &amp; Supply Forecast'!B85="","",'7. Demand &amp; Supply Forecast'!S85)</f>
        <v/>
      </c>
      <c r="K83" s="125" t="str">
        <f ca="1">IF('Hidden-Forecast Calculations'!E78="","",'Hidden-Forecast Calculations'!U78)</f>
        <v/>
      </c>
      <c r="L83" s="125" t="str">
        <f ca="1">IF('Hidden-Forecast Calculations'!E78="","",'Hidden-Forecast Calculations'!V78)</f>
        <v/>
      </c>
      <c r="M83" s="125" t="str">
        <f ca="1">IF('Hidden-Forecast Calculations'!E78="","",'Hidden-Forecast Calculations'!W78)</f>
        <v/>
      </c>
      <c r="N83" s="128" t="str">
        <f ca="1">'Hidden-Forecast Calculations'!R78</f>
        <v/>
      </c>
      <c r="O83" s="129" t="str">
        <f ca="1">'Hidden-Forecast Calculations'!S78</f>
        <v/>
      </c>
      <c r="P83" s="130" t="str">
        <f ca="1">'Hidden-Forecast Calculations'!T78</f>
        <v/>
      </c>
      <c r="Q83" s="124" t="str">
        <f ca="1">'Hidden-Forecast Calculations'!H78</f>
        <v/>
      </c>
      <c r="R83" s="124" t="str">
        <f ca="1">IF('Hidden-Forecast Calculations'!I78=0,"",'Hidden-Forecast Calculations'!I78)</f>
        <v/>
      </c>
      <c r="S83" s="131" t="str">
        <f ca="1">'Hidden-Forecast Calculations'!M78</f>
        <v/>
      </c>
    </row>
    <row r="84" spans="2:19" ht="20.100000000000001" customHeight="1" x14ac:dyDescent="0.2">
      <c r="B84" s="123" t="str">
        <f ca="1">'Hidden-Forecast Calculations'!E79</f>
        <v/>
      </c>
      <c r="C84" s="124" t="str">
        <f ca="1">'Hidden-Forecast Calculations'!J79</f>
        <v/>
      </c>
      <c r="D84" s="125" t="str">
        <f ca="1">IF('7. Demand &amp; Supply Forecast'!B86="","",'7. Demand &amp; Supply Forecast'!C86)</f>
        <v/>
      </c>
      <c r="E84" s="126" t="str">
        <f ca="1">IF('7. Demand &amp; Supply Forecast'!B86="","",'7. Demand &amp; Supply Forecast'!G86)</f>
        <v/>
      </c>
      <c r="F84" s="125" t="str">
        <f ca="1">IF('7. Demand &amp; Supply Forecast'!B86="","",'7. Demand &amp; Supply Forecast'!H86)</f>
        <v/>
      </c>
      <c r="G84" s="127" t="str">
        <f ca="1">IF('7. Demand &amp; Supply Forecast'!B86="","",'7. Demand &amp; Supply Forecast'!I86)</f>
        <v/>
      </c>
      <c r="H84" s="117" t="str">
        <f ca="1">IF('7. Demand &amp; Supply Forecast'!B86="","",'7. Demand &amp; Supply Forecast'!Q86)</f>
        <v/>
      </c>
      <c r="I84" s="116" t="str">
        <f ca="1">IF('7. Demand &amp; Supply Forecast'!B86="","",'7. Demand &amp; Supply Forecast'!R86)</f>
        <v/>
      </c>
      <c r="J84" s="118" t="str">
        <f ca="1">IF('7. Demand &amp; Supply Forecast'!B86="","",'7. Demand &amp; Supply Forecast'!S86)</f>
        <v/>
      </c>
      <c r="K84" s="125" t="str">
        <f ca="1">IF('Hidden-Forecast Calculations'!E79="","",'Hidden-Forecast Calculations'!U79)</f>
        <v/>
      </c>
      <c r="L84" s="125" t="str">
        <f ca="1">IF('Hidden-Forecast Calculations'!E79="","",'Hidden-Forecast Calculations'!V79)</f>
        <v/>
      </c>
      <c r="M84" s="125" t="str">
        <f ca="1">IF('Hidden-Forecast Calculations'!E79="","",'Hidden-Forecast Calculations'!W79)</f>
        <v/>
      </c>
      <c r="N84" s="128" t="str">
        <f ca="1">'Hidden-Forecast Calculations'!R79</f>
        <v/>
      </c>
      <c r="O84" s="129" t="str">
        <f ca="1">'Hidden-Forecast Calculations'!S79</f>
        <v/>
      </c>
      <c r="P84" s="130" t="str">
        <f ca="1">'Hidden-Forecast Calculations'!T79</f>
        <v/>
      </c>
      <c r="Q84" s="124" t="str">
        <f ca="1">'Hidden-Forecast Calculations'!H79</f>
        <v/>
      </c>
      <c r="R84" s="124" t="str">
        <f ca="1">IF('Hidden-Forecast Calculations'!I79=0,"",'Hidden-Forecast Calculations'!I79)</f>
        <v/>
      </c>
      <c r="S84" s="131" t="str">
        <f ca="1">'Hidden-Forecast Calculations'!M79</f>
        <v/>
      </c>
    </row>
    <row r="85" spans="2:19" ht="20.100000000000001" customHeight="1" x14ac:dyDescent="0.2">
      <c r="B85" s="123" t="str">
        <f ca="1">'Hidden-Forecast Calculations'!E80</f>
        <v/>
      </c>
      <c r="C85" s="124" t="str">
        <f ca="1">'Hidden-Forecast Calculations'!J80</f>
        <v/>
      </c>
      <c r="D85" s="125" t="str">
        <f ca="1">IF('7. Demand &amp; Supply Forecast'!B87="","",'7. Demand &amp; Supply Forecast'!C87)</f>
        <v/>
      </c>
      <c r="E85" s="126" t="str">
        <f ca="1">IF('7. Demand &amp; Supply Forecast'!B87="","",'7. Demand &amp; Supply Forecast'!G87)</f>
        <v/>
      </c>
      <c r="F85" s="125" t="str">
        <f ca="1">IF('7. Demand &amp; Supply Forecast'!B87="","",'7. Demand &amp; Supply Forecast'!H87)</f>
        <v/>
      </c>
      <c r="G85" s="127" t="str">
        <f ca="1">IF('7. Demand &amp; Supply Forecast'!B87="","",'7. Demand &amp; Supply Forecast'!I87)</f>
        <v/>
      </c>
      <c r="H85" s="117" t="str">
        <f ca="1">IF('7. Demand &amp; Supply Forecast'!B87="","",'7. Demand &amp; Supply Forecast'!Q87)</f>
        <v/>
      </c>
      <c r="I85" s="116" t="str">
        <f ca="1">IF('7. Demand &amp; Supply Forecast'!B87="","",'7. Demand &amp; Supply Forecast'!R87)</f>
        <v/>
      </c>
      <c r="J85" s="118" t="str">
        <f ca="1">IF('7. Demand &amp; Supply Forecast'!B87="","",'7. Demand &amp; Supply Forecast'!S87)</f>
        <v/>
      </c>
      <c r="K85" s="125" t="str">
        <f ca="1">IF('Hidden-Forecast Calculations'!E80="","",'Hidden-Forecast Calculations'!U80)</f>
        <v/>
      </c>
      <c r="L85" s="125" t="str">
        <f ca="1">IF('Hidden-Forecast Calculations'!E80="","",'Hidden-Forecast Calculations'!V80)</f>
        <v/>
      </c>
      <c r="M85" s="125" t="str">
        <f ca="1">IF('Hidden-Forecast Calculations'!E80="","",'Hidden-Forecast Calculations'!W80)</f>
        <v/>
      </c>
      <c r="N85" s="128" t="str">
        <f ca="1">'Hidden-Forecast Calculations'!R80</f>
        <v/>
      </c>
      <c r="O85" s="129" t="str">
        <f ca="1">'Hidden-Forecast Calculations'!S80</f>
        <v/>
      </c>
      <c r="P85" s="130" t="str">
        <f ca="1">'Hidden-Forecast Calculations'!T80</f>
        <v/>
      </c>
      <c r="Q85" s="124" t="str">
        <f ca="1">'Hidden-Forecast Calculations'!H80</f>
        <v/>
      </c>
      <c r="R85" s="124" t="str">
        <f ca="1">IF('Hidden-Forecast Calculations'!I80=0,"",'Hidden-Forecast Calculations'!I80)</f>
        <v/>
      </c>
      <c r="S85" s="131" t="str">
        <f ca="1">'Hidden-Forecast Calculations'!M80</f>
        <v/>
      </c>
    </row>
    <row r="86" spans="2:19" ht="20.100000000000001" customHeight="1" x14ac:dyDescent="0.2">
      <c r="B86" s="123" t="str">
        <f ca="1">'Hidden-Forecast Calculations'!E81</f>
        <v/>
      </c>
      <c r="C86" s="124" t="str">
        <f ca="1">'Hidden-Forecast Calculations'!J81</f>
        <v/>
      </c>
      <c r="D86" s="125" t="str">
        <f ca="1">IF('7. Demand &amp; Supply Forecast'!B88="","",'7. Demand &amp; Supply Forecast'!C88)</f>
        <v/>
      </c>
      <c r="E86" s="126" t="str">
        <f ca="1">IF('7. Demand &amp; Supply Forecast'!B88="","",'7. Demand &amp; Supply Forecast'!G88)</f>
        <v/>
      </c>
      <c r="F86" s="125" t="str">
        <f ca="1">IF('7. Demand &amp; Supply Forecast'!B88="","",'7. Demand &amp; Supply Forecast'!H88)</f>
        <v/>
      </c>
      <c r="G86" s="127" t="str">
        <f ca="1">IF('7. Demand &amp; Supply Forecast'!B88="","",'7. Demand &amp; Supply Forecast'!I88)</f>
        <v/>
      </c>
      <c r="H86" s="117" t="str">
        <f ca="1">IF('7. Demand &amp; Supply Forecast'!B88="","",'7. Demand &amp; Supply Forecast'!Q88)</f>
        <v/>
      </c>
      <c r="I86" s="116" t="str">
        <f ca="1">IF('7. Demand &amp; Supply Forecast'!B88="","",'7. Demand &amp; Supply Forecast'!R88)</f>
        <v/>
      </c>
      <c r="J86" s="118" t="str">
        <f ca="1">IF('7. Demand &amp; Supply Forecast'!B88="","",'7. Demand &amp; Supply Forecast'!S88)</f>
        <v/>
      </c>
      <c r="K86" s="125" t="str">
        <f ca="1">IF('Hidden-Forecast Calculations'!E81="","",'Hidden-Forecast Calculations'!U81)</f>
        <v/>
      </c>
      <c r="L86" s="125" t="str">
        <f ca="1">IF('Hidden-Forecast Calculations'!E81="","",'Hidden-Forecast Calculations'!V81)</f>
        <v/>
      </c>
      <c r="M86" s="125" t="str">
        <f ca="1">IF('Hidden-Forecast Calculations'!E81="","",'Hidden-Forecast Calculations'!W81)</f>
        <v/>
      </c>
      <c r="N86" s="128" t="str">
        <f ca="1">'Hidden-Forecast Calculations'!R81</f>
        <v/>
      </c>
      <c r="O86" s="129" t="str">
        <f ca="1">'Hidden-Forecast Calculations'!S81</f>
        <v/>
      </c>
      <c r="P86" s="130" t="str">
        <f ca="1">'Hidden-Forecast Calculations'!T81</f>
        <v/>
      </c>
      <c r="Q86" s="124" t="str">
        <f ca="1">'Hidden-Forecast Calculations'!H81</f>
        <v/>
      </c>
      <c r="R86" s="124" t="str">
        <f ca="1">IF('Hidden-Forecast Calculations'!I81=0,"",'Hidden-Forecast Calculations'!I81)</f>
        <v/>
      </c>
      <c r="S86" s="131" t="str">
        <f ca="1">'Hidden-Forecast Calculations'!M81</f>
        <v/>
      </c>
    </row>
    <row r="87" spans="2:19" ht="20.100000000000001" customHeight="1" x14ac:dyDescent="0.2">
      <c r="B87" s="123" t="str">
        <f ca="1">'Hidden-Forecast Calculations'!E82</f>
        <v/>
      </c>
      <c r="C87" s="124" t="str">
        <f ca="1">'Hidden-Forecast Calculations'!J82</f>
        <v/>
      </c>
      <c r="D87" s="125" t="str">
        <f ca="1">IF('7. Demand &amp; Supply Forecast'!B89="","",'7. Demand &amp; Supply Forecast'!C89)</f>
        <v/>
      </c>
      <c r="E87" s="126" t="str">
        <f ca="1">IF('7. Demand &amp; Supply Forecast'!B89="","",'7. Demand &amp; Supply Forecast'!G89)</f>
        <v/>
      </c>
      <c r="F87" s="125" t="str">
        <f ca="1">IF('7. Demand &amp; Supply Forecast'!B89="","",'7. Demand &amp; Supply Forecast'!H89)</f>
        <v/>
      </c>
      <c r="G87" s="127" t="str">
        <f ca="1">IF('7. Demand &amp; Supply Forecast'!B89="","",'7. Demand &amp; Supply Forecast'!I89)</f>
        <v/>
      </c>
      <c r="H87" s="117" t="str">
        <f ca="1">IF('7. Demand &amp; Supply Forecast'!B89="","",'7. Demand &amp; Supply Forecast'!Q89)</f>
        <v/>
      </c>
      <c r="I87" s="116" t="str">
        <f ca="1">IF('7. Demand &amp; Supply Forecast'!B89="","",'7. Demand &amp; Supply Forecast'!R89)</f>
        <v/>
      </c>
      <c r="J87" s="118" t="str">
        <f ca="1">IF('7. Demand &amp; Supply Forecast'!B89="","",'7. Demand &amp; Supply Forecast'!S89)</f>
        <v/>
      </c>
      <c r="K87" s="125" t="str">
        <f ca="1">IF('Hidden-Forecast Calculations'!E82="","",'Hidden-Forecast Calculations'!U82)</f>
        <v/>
      </c>
      <c r="L87" s="125" t="str">
        <f ca="1">IF('Hidden-Forecast Calculations'!E82="","",'Hidden-Forecast Calculations'!V82)</f>
        <v/>
      </c>
      <c r="M87" s="125" t="str">
        <f ca="1">IF('Hidden-Forecast Calculations'!E82="","",'Hidden-Forecast Calculations'!W82)</f>
        <v/>
      </c>
      <c r="N87" s="128" t="str">
        <f ca="1">'Hidden-Forecast Calculations'!R82</f>
        <v/>
      </c>
      <c r="O87" s="129" t="str">
        <f ca="1">'Hidden-Forecast Calculations'!S82</f>
        <v/>
      </c>
      <c r="P87" s="130" t="str">
        <f ca="1">'Hidden-Forecast Calculations'!T82</f>
        <v/>
      </c>
      <c r="Q87" s="124" t="str">
        <f ca="1">'Hidden-Forecast Calculations'!H82</f>
        <v/>
      </c>
      <c r="R87" s="124" t="str">
        <f ca="1">IF('Hidden-Forecast Calculations'!I82=0,"",'Hidden-Forecast Calculations'!I82)</f>
        <v/>
      </c>
      <c r="S87" s="131" t="str">
        <f ca="1">'Hidden-Forecast Calculations'!M82</f>
        <v/>
      </c>
    </row>
    <row r="88" spans="2:19" ht="20.100000000000001" customHeight="1" x14ac:dyDescent="0.2">
      <c r="B88" s="123" t="str">
        <f ca="1">'Hidden-Forecast Calculations'!E83</f>
        <v/>
      </c>
      <c r="C88" s="124" t="str">
        <f ca="1">'Hidden-Forecast Calculations'!J83</f>
        <v/>
      </c>
      <c r="D88" s="125" t="str">
        <f ca="1">IF('7. Demand &amp; Supply Forecast'!B90="","",'7. Demand &amp; Supply Forecast'!C90)</f>
        <v/>
      </c>
      <c r="E88" s="126" t="str">
        <f ca="1">IF('7. Demand &amp; Supply Forecast'!B90="","",'7. Demand &amp; Supply Forecast'!G90)</f>
        <v/>
      </c>
      <c r="F88" s="125" t="str">
        <f ca="1">IF('7. Demand &amp; Supply Forecast'!B90="","",'7. Demand &amp; Supply Forecast'!H90)</f>
        <v/>
      </c>
      <c r="G88" s="127" t="str">
        <f ca="1">IF('7. Demand &amp; Supply Forecast'!B90="","",'7. Demand &amp; Supply Forecast'!I90)</f>
        <v/>
      </c>
      <c r="H88" s="117" t="str">
        <f ca="1">IF('7. Demand &amp; Supply Forecast'!B90="","",'7. Demand &amp; Supply Forecast'!Q90)</f>
        <v/>
      </c>
      <c r="I88" s="116" t="str">
        <f ca="1">IF('7. Demand &amp; Supply Forecast'!B90="","",'7. Demand &amp; Supply Forecast'!R90)</f>
        <v/>
      </c>
      <c r="J88" s="118" t="str">
        <f ca="1">IF('7. Demand &amp; Supply Forecast'!B90="","",'7. Demand &amp; Supply Forecast'!S90)</f>
        <v/>
      </c>
      <c r="K88" s="125" t="str">
        <f ca="1">IF('Hidden-Forecast Calculations'!E83="","",'Hidden-Forecast Calculations'!U83)</f>
        <v/>
      </c>
      <c r="L88" s="125" t="str">
        <f ca="1">IF('Hidden-Forecast Calculations'!E83="","",'Hidden-Forecast Calculations'!V83)</f>
        <v/>
      </c>
      <c r="M88" s="125" t="str">
        <f ca="1">IF('Hidden-Forecast Calculations'!E83="","",'Hidden-Forecast Calculations'!W83)</f>
        <v/>
      </c>
      <c r="N88" s="128" t="str">
        <f ca="1">'Hidden-Forecast Calculations'!R83</f>
        <v/>
      </c>
      <c r="O88" s="129" t="str">
        <f ca="1">'Hidden-Forecast Calculations'!S83</f>
        <v/>
      </c>
      <c r="P88" s="130" t="str">
        <f ca="1">'Hidden-Forecast Calculations'!T83</f>
        <v/>
      </c>
      <c r="Q88" s="124" t="str">
        <f ca="1">'Hidden-Forecast Calculations'!H83</f>
        <v/>
      </c>
      <c r="R88" s="124" t="str">
        <f ca="1">IF('Hidden-Forecast Calculations'!I83=0,"",'Hidden-Forecast Calculations'!I83)</f>
        <v/>
      </c>
      <c r="S88" s="131" t="str">
        <f ca="1">'Hidden-Forecast Calculations'!M83</f>
        <v/>
      </c>
    </row>
    <row r="89" spans="2:19" ht="20.100000000000001" customHeight="1" x14ac:dyDescent="0.2">
      <c r="B89" s="123" t="str">
        <f ca="1">'Hidden-Forecast Calculations'!E84</f>
        <v/>
      </c>
      <c r="C89" s="124" t="str">
        <f ca="1">'Hidden-Forecast Calculations'!J84</f>
        <v/>
      </c>
      <c r="D89" s="125" t="str">
        <f ca="1">IF('7. Demand &amp; Supply Forecast'!B91="","",'7. Demand &amp; Supply Forecast'!C91)</f>
        <v/>
      </c>
      <c r="E89" s="126" t="str">
        <f ca="1">IF('7. Demand &amp; Supply Forecast'!B91="","",'7. Demand &amp; Supply Forecast'!G91)</f>
        <v/>
      </c>
      <c r="F89" s="125" t="str">
        <f ca="1">IF('7. Demand &amp; Supply Forecast'!B91="","",'7. Demand &amp; Supply Forecast'!H91)</f>
        <v/>
      </c>
      <c r="G89" s="127" t="str">
        <f ca="1">IF('7. Demand &amp; Supply Forecast'!B91="","",'7. Demand &amp; Supply Forecast'!I91)</f>
        <v/>
      </c>
      <c r="H89" s="117" t="str">
        <f ca="1">IF('7. Demand &amp; Supply Forecast'!B91="","",'7. Demand &amp; Supply Forecast'!Q91)</f>
        <v/>
      </c>
      <c r="I89" s="116" t="str">
        <f ca="1">IF('7. Demand &amp; Supply Forecast'!B91="","",'7. Demand &amp; Supply Forecast'!R91)</f>
        <v/>
      </c>
      <c r="J89" s="118" t="str">
        <f ca="1">IF('7. Demand &amp; Supply Forecast'!B91="","",'7. Demand &amp; Supply Forecast'!S91)</f>
        <v/>
      </c>
      <c r="K89" s="125" t="str">
        <f ca="1">IF('Hidden-Forecast Calculations'!E84="","",'Hidden-Forecast Calculations'!U84)</f>
        <v/>
      </c>
      <c r="L89" s="125" t="str">
        <f ca="1">IF('Hidden-Forecast Calculations'!E84="","",'Hidden-Forecast Calculations'!V84)</f>
        <v/>
      </c>
      <c r="M89" s="125" t="str">
        <f ca="1">IF('Hidden-Forecast Calculations'!E84="","",'Hidden-Forecast Calculations'!W84)</f>
        <v/>
      </c>
      <c r="N89" s="128" t="str">
        <f ca="1">'Hidden-Forecast Calculations'!R84</f>
        <v/>
      </c>
      <c r="O89" s="129" t="str">
        <f ca="1">'Hidden-Forecast Calculations'!S84</f>
        <v/>
      </c>
      <c r="P89" s="130" t="str">
        <f ca="1">'Hidden-Forecast Calculations'!T84</f>
        <v/>
      </c>
      <c r="Q89" s="124" t="str">
        <f ca="1">'Hidden-Forecast Calculations'!H84</f>
        <v/>
      </c>
      <c r="R89" s="124" t="str">
        <f ca="1">IF('Hidden-Forecast Calculations'!I84=0,"",'Hidden-Forecast Calculations'!I84)</f>
        <v/>
      </c>
      <c r="S89" s="131" t="str">
        <f ca="1">'Hidden-Forecast Calculations'!M84</f>
        <v/>
      </c>
    </row>
    <row r="90" spans="2:19" ht="20.100000000000001" customHeight="1" x14ac:dyDescent="0.2">
      <c r="B90" s="123" t="str">
        <f ca="1">'Hidden-Forecast Calculations'!E85</f>
        <v/>
      </c>
      <c r="C90" s="124" t="str">
        <f ca="1">'Hidden-Forecast Calculations'!J85</f>
        <v/>
      </c>
      <c r="D90" s="125" t="str">
        <f ca="1">IF('7. Demand &amp; Supply Forecast'!B92="","",'7. Demand &amp; Supply Forecast'!C92)</f>
        <v/>
      </c>
      <c r="E90" s="126" t="str">
        <f ca="1">IF('7. Demand &amp; Supply Forecast'!B92="","",'7. Demand &amp; Supply Forecast'!G92)</f>
        <v/>
      </c>
      <c r="F90" s="125" t="str">
        <f ca="1">IF('7. Demand &amp; Supply Forecast'!B92="","",'7. Demand &amp; Supply Forecast'!H92)</f>
        <v/>
      </c>
      <c r="G90" s="127" t="str">
        <f ca="1">IF('7. Demand &amp; Supply Forecast'!B92="","",'7. Demand &amp; Supply Forecast'!I92)</f>
        <v/>
      </c>
      <c r="H90" s="117" t="str">
        <f ca="1">IF('7. Demand &amp; Supply Forecast'!B92="","",'7. Demand &amp; Supply Forecast'!Q92)</f>
        <v/>
      </c>
      <c r="I90" s="116" t="str">
        <f ca="1">IF('7. Demand &amp; Supply Forecast'!B92="","",'7. Demand &amp; Supply Forecast'!R92)</f>
        <v/>
      </c>
      <c r="J90" s="118" t="str">
        <f ca="1">IF('7. Demand &amp; Supply Forecast'!B92="","",'7. Demand &amp; Supply Forecast'!S92)</f>
        <v/>
      </c>
      <c r="K90" s="125" t="str">
        <f ca="1">IF('Hidden-Forecast Calculations'!E85="","",'Hidden-Forecast Calculations'!U85)</f>
        <v/>
      </c>
      <c r="L90" s="125" t="str">
        <f ca="1">IF('Hidden-Forecast Calculations'!E85="","",'Hidden-Forecast Calculations'!V85)</f>
        <v/>
      </c>
      <c r="M90" s="125" t="str">
        <f ca="1">IF('Hidden-Forecast Calculations'!E85="","",'Hidden-Forecast Calculations'!W85)</f>
        <v/>
      </c>
      <c r="N90" s="128" t="str">
        <f ca="1">'Hidden-Forecast Calculations'!R85</f>
        <v/>
      </c>
      <c r="O90" s="129" t="str">
        <f ca="1">'Hidden-Forecast Calculations'!S85</f>
        <v/>
      </c>
      <c r="P90" s="130" t="str">
        <f ca="1">'Hidden-Forecast Calculations'!T85</f>
        <v/>
      </c>
      <c r="Q90" s="124" t="str">
        <f ca="1">'Hidden-Forecast Calculations'!H85</f>
        <v/>
      </c>
      <c r="R90" s="124" t="str">
        <f ca="1">IF('Hidden-Forecast Calculations'!I85=0,"",'Hidden-Forecast Calculations'!I85)</f>
        <v/>
      </c>
      <c r="S90" s="131" t="str">
        <f ca="1">'Hidden-Forecast Calculations'!M85</f>
        <v/>
      </c>
    </row>
    <row r="91" spans="2:19" ht="20.100000000000001" customHeight="1" x14ac:dyDescent="0.2">
      <c r="B91" s="123" t="str">
        <f ca="1">'Hidden-Forecast Calculations'!E86</f>
        <v/>
      </c>
      <c r="C91" s="124" t="str">
        <f ca="1">'Hidden-Forecast Calculations'!J86</f>
        <v/>
      </c>
      <c r="D91" s="125" t="str">
        <f ca="1">IF('7. Demand &amp; Supply Forecast'!B93="","",'7. Demand &amp; Supply Forecast'!C93)</f>
        <v/>
      </c>
      <c r="E91" s="126" t="str">
        <f ca="1">IF('7. Demand &amp; Supply Forecast'!B93="","",'7. Demand &amp; Supply Forecast'!G93)</f>
        <v/>
      </c>
      <c r="F91" s="125" t="str">
        <f ca="1">IF('7. Demand &amp; Supply Forecast'!B93="","",'7. Demand &amp; Supply Forecast'!H93)</f>
        <v/>
      </c>
      <c r="G91" s="127" t="str">
        <f ca="1">IF('7. Demand &amp; Supply Forecast'!B93="","",'7. Demand &amp; Supply Forecast'!I93)</f>
        <v/>
      </c>
      <c r="H91" s="117" t="str">
        <f ca="1">IF('7. Demand &amp; Supply Forecast'!B93="","",'7. Demand &amp; Supply Forecast'!Q93)</f>
        <v/>
      </c>
      <c r="I91" s="116" t="str">
        <f ca="1">IF('7. Demand &amp; Supply Forecast'!B93="","",'7. Demand &amp; Supply Forecast'!R93)</f>
        <v/>
      </c>
      <c r="J91" s="118" t="str">
        <f ca="1">IF('7. Demand &amp; Supply Forecast'!B93="","",'7. Demand &amp; Supply Forecast'!S93)</f>
        <v/>
      </c>
      <c r="K91" s="125" t="str">
        <f ca="1">IF('Hidden-Forecast Calculations'!E86="","",'Hidden-Forecast Calculations'!U86)</f>
        <v/>
      </c>
      <c r="L91" s="125" t="str">
        <f ca="1">IF('Hidden-Forecast Calculations'!E86="","",'Hidden-Forecast Calculations'!V86)</f>
        <v/>
      </c>
      <c r="M91" s="125" t="str">
        <f ca="1">IF('Hidden-Forecast Calculations'!E86="","",'Hidden-Forecast Calculations'!W86)</f>
        <v/>
      </c>
      <c r="N91" s="128" t="str">
        <f ca="1">'Hidden-Forecast Calculations'!R86</f>
        <v/>
      </c>
      <c r="O91" s="129" t="str">
        <f ca="1">'Hidden-Forecast Calculations'!S86</f>
        <v/>
      </c>
      <c r="P91" s="130" t="str">
        <f ca="1">'Hidden-Forecast Calculations'!T86</f>
        <v/>
      </c>
      <c r="Q91" s="124" t="str">
        <f ca="1">'Hidden-Forecast Calculations'!H86</f>
        <v/>
      </c>
      <c r="R91" s="124" t="str">
        <f ca="1">IF('Hidden-Forecast Calculations'!I86=0,"",'Hidden-Forecast Calculations'!I86)</f>
        <v/>
      </c>
      <c r="S91" s="131" t="str">
        <f ca="1">'Hidden-Forecast Calculations'!M86</f>
        <v/>
      </c>
    </row>
    <row r="92" spans="2:19" ht="20.100000000000001" customHeight="1" x14ac:dyDescent="0.2">
      <c r="B92" s="123" t="str">
        <f ca="1">'Hidden-Forecast Calculations'!E87</f>
        <v/>
      </c>
      <c r="C92" s="124" t="str">
        <f ca="1">'Hidden-Forecast Calculations'!J87</f>
        <v/>
      </c>
      <c r="D92" s="125" t="str">
        <f ca="1">IF('7. Demand &amp; Supply Forecast'!B94="","",'7. Demand &amp; Supply Forecast'!C94)</f>
        <v/>
      </c>
      <c r="E92" s="126" t="str">
        <f ca="1">IF('7. Demand &amp; Supply Forecast'!B94="","",'7. Demand &amp; Supply Forecast'!G94)</f>
        <v/>
      </c>
      <c r="F92" s="125" t="str">
        <f ca="1">IF('7. Demand &amp; Supply Forecast'!B94="","",'7. Demand &amp; Supply Forecast'!H94)</f>
        <v/>
      </c>
      <c r="G92" s="127" t="str">
        <f ca="1">IF('7. Demand &amp; Supply Forecast'!B94="","",'7. Demand &amp; Supply Forecast'!I94)</f>
        <v/>
      </c>
      <c r="H92" s="117" t="str">
        <f ca="1">IF('7. Demand &amp; Supply Forecast'!B94="","",'7. Demand &amp; Supply Forecast'!Q94)</f>
        <v/>
      </c>
      <c r="I92" s="116" t="str">
        <f ca="1">IF('7. Demand &amp; Supply Forecast'!B94="","",'7. Demand &amp; Supply Forecast'!R94)</f>
        <v/>
      </c>
      <c r="J92" s="118" t="str">
        <f ca="1">IF('7. Demand &amp; Supply Forecast'!B94="","",'7. Demand &amp; Supply Forecast'!S94)</f>
        <v/>
      </c>
      <c r="K92" s="125" t="str">
        <f ca="1">IF('Hidden-Forecast Calculations'!E87="","",'Hidden-Forecast Calculations'!U87)</f>
        <v/>
      </c>
      <c r="L92" s="125" t="str">
        <f ca="1">IF('Hidden-Forecast Calculations'!E87="","",'Hidden-Forecast Calculations'!V87)</f>
        <v/>
      </c>
      <c r="M92" s="125" t="str">
        <f ca="1">IF('Hidden-Forecast Calculations'!E87="","",'Hidden-Forecast Calculations'!W87)</f>
        <v/>
      </c>
      <c r="N92" s="128" t="str">
        <f ca="1">'Hidden-Forecast Calculations'!R87</f>
        <v/>
      </c>
      <c r="O92" s="129" t="str">
        <f ca="1">'Hidden-Forecast Calculations'!S87</f>
        <v/>
      </c>
      <c r="P92" s="130" t="str">
        <f ca="1">'Hidden-Forecast Calculations'!T87</f>
        <v/>
      </c>
      <c r="Q92" s="124" t="str">
        <f ca="1">'Hidden-Forecast Calculations'!H87</f>
        <v/>
      </c>
      <c r="R92" s="124" t="str">
        <f ca="1">IF('Hidden-Forecast Calculations'!I87=0,"",'Hidden-Forecast Calculations'!I87)</f>
        <v/>
      </c>
      <c r="S92" s="131" t="str">
        <f ca="1">'Hidden-Forecast Calculations'!M87</f>
        <v/>
      </c>
    </row>
    <row r="93" spans="2:19" ht="20.100000000000001" customHeight="1" x14ac:dyDescent="0.2">
      <c r="B93" s="123" t="str">
        <f ca="1">'Hidden-Forecast Calculations'!E88</f>
        <v/>
      </c>
      <c r="C93" s="124" t="str">
        <f ca="1">'Hidden-Forecast Calculations'!J88</f>
        <v/>
      </c>
      <c r="D93" s="125" t="str">
        <f ca="1">IF('7. Demand &amp; Supply Forecast'!B95="","",'7. Demand &amp; Supply Forecast'!C95)</f>
        <v/>
      </c>
      <c r="E93" s="126" t="str">
        <f ca="1">IF('7. Demand &amp; Supply Forecast'!B95="","",'7. Demand &amp; Supply Forecast'!G95)</f>
        <v/>
      </c>
      <c r="F93" s="125" t="str">
        <f ca="1">IF('7. Demand &amp; Supply Forecast'!B95="","",'7. Demand &amp; Supply Forecast'!H95)</f>
        <v/>
      </c>
      <c r="G93" s="127" t="str">
        <f ca="1">IF('7. Demand &amp; Supply Forecast'!B95="","",'7. Demand &amp; Supply Forecast'!I95)</f>
        <v/>
      </c>
      <c r="H93" s="117" t="str">
        <f ca="1">IF('7. Demand &amp; Supply Forecast'!B95="","",'7. Demand &amp; Supply Forecast'!Q95)</f>
        <v/>
      </c>
      <c r="I93" s="116" t="str">
        <f ca="1">IF('7. Demand &amp; Supply Forecast'!B95="","",'7. Demand &amp; Supply Forecast'!R95)</f>
        <v/>
      </c>
      <c r="J93" s="118" t="str">
        <f ca="1">IF('7. Demand &amp; Supply Forecast'!B95="","",'7. Demand &amp; Supply Forecast'!S95)</f>
        <v/>
      </c>
      <c r="K93" s="125" t="str">
        <f ca="1">IF('Hidden-Forecast Calculations'!E88="","",'Hidden-Forecast Calculations'!U88)</f>
        <v/>
      </c>
      <c r="L93" s="125" t="str">
        <f ca="1">IF('Hidden-Forecast Calculations'!E88="","",'Hidden-Forecast Calculations'!V88)</f>
        <v/>
      </c>
      <c r="M93" s="125" t="str">
        <f ca="1">IF('Hidden-Forecast Calculations'!E88="","",'Hidden-Forecast Calculations'!W88)</f>
        <v/>
      </c>
      <c r="N93" s="128" t="str">
        <f ca="1">'Hidden-Forecast Calculations'!R88</f>
        <v/>
      </c>
      <c r="O93" s="129" t="str">
        <f ca="1">'Hidden-Forecast Calculations'!S88</f>
        <v/>
      </c>
      <c r="P93" s="130" t="str">
        <f ca="1">'Hidden-Forecast Calculations'!T88</f>
        <v/>
      </c>
      <c r="Q93" s="124" t="str">
        <f ca="1">'Hidden-Forecast Calculations'!H88</f>
        <v/>
      </c>
      <c r="R93" s="124" t="str">
        <f ca="1">IF('Hidden-Forecast Calculations'!I88=0,"",'Hidden-Forecast Calculations'!I88)</f>
        <v/>
      </c>
      <c r="S93" s="131" t="str">
        <f ca="1">'Hidden-Forecast Calculations'!M88</f>
        <v/>
      </c>
    </row>
    <row r="94" spans="2:19" ht="20.100000000000001" customHeight="1" x14ac:dyDescent="0.2">
      <c r="B94" s="123" t="str">
        <f ca="1">'Hidden-Forecast Calculations'!E89</f>
        <v/>
      </c>
      <c r="C94" s="124" t="str">
        <f ca="1">'Hidden-Forecast Calculations'!J89</f>
        <v/>
      </c>
      <c r="D94" s="125" t="str">
        <f ca="1">IF('7. Demand &amp; Supply Forecast'!B96="","",'7. Demand &amp; Supply Forecast'!C96)</f>
        <v/>
      </c>
      <c r="E94" s="126" t="str">
        <f ca="1">IF('7. Demand &amp; Supply Forecast'!B96="","",'7. Demand &amp; Supply Forecast'!G96)</f>
        <v/>
      </c>
      <c r="F94" s="125" t="str">
        <f ca="1">IF('7. Demand &amp; Supply Forecast'!B96="","",'7. Demand &amp; Supply Forecast'!H96)</f>
        <v/>
      </c>
      <c r="G94" s="127" t="str">
        <f ca="1">IF('7. Demand &amp; Supply Forecast'!B96="","",'7. Demand &amp; Supply Forecast'!I96)</f>
        <v/>
      </c>
      <c r="H94" s="117" t="str">
        <f ca="1">IF('7. Demand &amp; Supply Forecast'!B96="","",'7. Demand &amp; Supply Forecast'!Q96)</f>
        <v/>
      </c>
      <c r="I94" s="116" t="str">
        <f ca="1">IF('7. Demand &amp; Supply Forecast'!B96="","",'7. Demand &amp; Supply Forecast'!R96)</f>
        <v/>
      </c>
      <c r="J94" s="118" t="str">
        <f ca="1">IF('7. Demand &amp; Supply Forecast'!B96="","",'7. Demand &amp; Supply Forecast'!S96)</f>
        <v/>
      </c>
      <c r="K94" s="125" t="str">
        <f ca="1">IF('Hidden-Forecast Calculations'!E89="","",'Hidden-Forecast Calculations'!U89)</f>
        <v/>
      </c>
      <c r="L94" s="125" t="str">
        <f ca="1">IF('Hidden-Forecast Calculations'!E89="","",'Hidden-Forecast Calculations'!V89)</f>
        <v/>
      </c>
      <c r="M94" s="125" t="str">
        <f ca="1">IF('Hidden-Forecast Calculations'!E89="","",'Hidden-Forecast Calculations'!W89)</f>
        <v/>
      </c>
      <c r="N94" s="128" t="str">
        <f ca="1">'Hidden-Forecast Calculations'!R89</f>
        <v/>
      </c>
      <c r="O94" s="129" t="str">
        <f ca="1">'Hidden-Forecast Calculations'!S89</f>
        <v/>
      </c>
      <c r="P94" s="130" t="str">
        <f ca="1">'Hidden-Forecast Calculations'!T89</f>
        <v/>
      </c>
      <c r="Q94" s="124" t="str">
        <f ca="1">'Hidden-Forecast Calculations'!H89</f>
        <v/>
      </c>
      <c r="R94" s="124" t="str">
        <f ca="1">IF('Hidden-Forecast Calculations'!I89=0,"",'Hidden-Forecast Calculations'!I89)</f>
        <v/>
      </c>
      <c r="S94" s="131" t="str">
        <f ca="1">'Hidden-Forecast Calculations'!M89</f>
        <v/>
      </c>
    </row>
    <row r="95" spans="2:19" ht="20.100000000000001" customHeight="1" x14ac:dyDescent="0.2">
      <c r="B95" s="123" t="str">
        <f ca="1">'Hidden-Forecast Calculations'!E90</f>
        <v/>
      </c>
      <c r="C95" s="124" t="str">
        <f ca="1">'Hidden-Forecast Calculations'!J90</f>
        <v/>
      </c>
      <c r="D95" s="125" t="str">
        <f ca="1">IF('7. Demand &amp; Supply Forecast'!B97="","",'7. Demand &amp; Supply Forecast'!C97)</f>
        <v/>
      </c>
      <c r="E95" s="126" t="str">
        <f ca="1">IF('7. Demand &amp; Supply Forecast'!B97="","",'7. Demand &amp; Supply Forecast'!G97)</f>
        <v/>
      </c>
      <c r="F95" s="125" t="str">
        <f ca="1">IF('7. Demand &amp; Supply Forecast'!B97="","",'7. Demand &amp; Supply Forecast'!H97)</f>
        <v/>
      </c>
      <c r="G95" s="127" t="str">
        <f ca="1">IF('7. Demand &amp; Supply Forecast'!B97="","",'7. Demand &amp; Supply Forecast'!I97)</f>
        <v/>
      </c>
      <c r="H95" s="117" t="str">
        <f ca="1">IF('7. Demand &amp; Supply Forecast'!B97="","",'7. Demand &amp; Supply Forecast'!Q97)</f>
        <v/>
      </c>
      <c r="I95" s="116" t="str">
        <f ca="1">IF('7. Demand &amp; Supply Forecast'!B97="","",'7. Demand &amp; Supply Forecast'!R97)</f>
        <v/>
      </c>
      <c r="J95" s="118" t="str">
        <f ca="1">IF('7. Demand &amp; Supply Forecast'!B97="","",'7. Demand &amp; Supply Forecast'!S97)</f>
        <v/>
      </c>
      <c r="K95" s="125" t="str">
        <f ca="1">IF('Hidden-Forecast Calculations'!E90="","",'Hidden-Forecast Calculations'!U90)</f>
        <v/>
      </c>
      <c r="L95" s="125" t="str">
        <f ca="1">IF('Hidden-Forecast Calculations'!E90="","",'Hidden-Forecast Calculations'!V90)</f>
        <v/>
      </c>
      <c r="M95" s="125" t="str">
        <f ca="1">IF('Hidden-Forecast Calculations'!E90="","",'Hidden-Forecast Calculations'!W90)</f>
        <v/>
      </c>
      <c r="N95" s="128" t="str">
        <f ca="1">'Hidden-Forecast Calculations'!R90</f>
        <v/>
      </c>
      <c r="O95" s="129" t="str">
        <f ca="1">'Hidden-Forecast Calculations'!S90</f>
        <v/>
      </c>
      <c r="P95" s="130" t="str">
        <f ca="1">'Hidden-Forecast Calculations'!T90</f>
        <v/>
      </c>
      <c r="Q95" s="124" t="str">
        <f ca="1">'Hidden-Forecast Calculations'!H90</f>
        <v/>
      </c>
      <c r="R95" s="124" t="str">
        <f ca="1">IF('Hidden-Forecast Calculations'!I90=0,"",'Hidden-Forecast Calculations'!I90)</f>
        <v/>
      </c>
      <c r="S95" s="131" t="str">
        <f ca="1">'Hidden-Forecast Calculations'!M90</f>
        <v/>
      </c>
    </row>
    <row r="96" spans="2:19" ht="20.100000000000001" customHeight="1" x14ac:dyDescent="0.2">
      <c r="B96" s="123" t="str">
        <f ca="1">'Hidden-Forecast Calculations'!E91</f>
        <v/>
      </c>
      <c r="C96" s="124" t="str">
        <f ca="1">'Hidden-Forecast Calculations'!J91</f>
        <v/>
      </c>
      <c r="D96" s="125" t="str">
        <f ca="1">IF('7. Demand &amp; Supply Forecast'!B98="","",'7. Demand &amp; Supply Forecast'!C98)</f>
        <v/>
      </c>
      <c r="E96" s="126" t="str">
        <f ca="1">IF('7. Demand &amp; Supply Forecast'!B98="","",'7. Demand &amp; Supply Forecast'!G98)</f>
        <v/>
      </c>
      <c r="F96" s="125" t="str">
        <f ca="1">IF('7. Demand &amp; Supply Forecast'!B98="","",'7. Demand &amp; Supply Forecast'!H98)</f>
        <v/>
      </c>
      <c r="G96" s="127" t="str">
        <f ca="1">IF('7. Demand &amp; Supply Forecast'!B98="","",'7. Demand &amp; Supply Forecast'!I98)</f>
        <v/>
      </c>
      <c r="H96" s="117" t="str">
        <f ca="1">IF('7. Demand &amp; Supply Forecast'!B98="","",'7. Demand &amp; Supply Forecast'!Q98)</f>
        <v/>
      </c>
      <c r="I96" s="116" t="str">
        <f ca="1">IF('7. Demand &amp; Supply Forecast'!B98="","",'7. Demand &amp; Supply Forecast'!R98)</f>
        <v/>
      </c>
      <c r="J96" s="118" t="str">
        <f ca="1">IF('7. Demand &amp; Supply Forecast'!B98="","",'7. Demand &amp; Supply Forecast'!S98)</f>
        <v/>
      </c>
      <c r="K96" s="125" t="str">
        <f ca="1">IF('Hidden-Forecast Calculations'!E91="","",'Hidden-Forecast Calculations'!U91)</f>
        <v/>
      </c>
      <c r="L96" s="125" t="str">
        <f ca="1">IF('Hidden-Forecast Calculations'!E91="","",'Hidden-Forecast Calculations'!V91)</f>
        <v/>
      </c>
      <c r="M96" s="125" t="str">
        <f ca="1">IF('Hidden-Forecast Calculations'!E91="","",'Hidden-Forecast Calculations'!W91)</f>
        <v/>
      </c>
      <c r="N96" s="128" t="str">
        <f ca="1">'Hidden-Forecast Calculations'!R91</f>
        <v/>
      </c>
      <c r="O96" s="129" t="str">
        <f ca="1">'Hidden-Forecast Calculations'!S91</f>
        <v/>
      </c>
      <c r="P96" s="130" t="str">
        <f ca="1">'Hidden-Forecast Calculations'!T91</f>
        <v/>
      </c>
      <c r="Q96" s="124" t="str">
        <f ca="1">'Hidden-Forecast Calculations'!H91</f>
        <v/>
      </c>
      <c r="R96" s="124" t="str">
        <f ca="1">IF('Hidden-Forecast Calculations'!I91=0,"",'Hidden-Forecast Calculations'!I91)</f>
        <v/>
      </c>
      <c r="S96" s="131" t="str">
        <f ca="1">'Hidden-Forecast Calculations'!M91</f>
        <v/>
      </c>
    </row>
    <row r="97" spans="2:19" ht="20.100000000000001" customHeight="1" x14ac:dyDescent="0.2">
      <c r="B97" s="123" t="str">
        <f ca="1">'Hidden-Forecast Calculations'!E92</f>
        <v/>
      </c>
      <c r="C97" s="124" t="str">
        <f ca="1">'Hidden-Forecast Calculations'!J92</f>
        <v/>
      </c>
      <c r="D97" s="125" t="str">
        <f ca="1">IF('7. Demand &amp; Supply Forecast'!B99="","",'7. Demand &amp; Supply Forecast'!C99)</f>
        <v/>
      </c>
      <c r="E97" s="126" t="str">
        <f ca="1">IF('7. Demand &amp; Supply Forecast'!B99="","",'7. Demand &amp; Supply Forecast'!G99)</f>
        <v/>
      </c>
      <c r="F97" s="125" t="str">
        <f ca="1">IF('7. Demand &amp; Supply Forecast'!B99="","",'7. Demand &amp; Supply Forecast'!H99)</f>
        <v/>
      </c>
      <c r="G97" s="127" t="str">
        <f ca="1">IF('7. Demand &amp; Supply Forecast'!B99="","",'7. Demand &amp; Supply Forecast'!I99)</f>
        <v/>
      </c>
      <c r="H97" s="117" t="str">
        <f ca="1">IF('7. Demand &amp; Supply Forecast'!B99="","",'7. Demand &amp; Supply Forecast'!Q99)</f>
        <v/>
      </c>
      <c r="I97" s="116" t="str">
        <f ca="1">IF('7. Demand &amp; Supply Forecast'!B99="","",'7. Demand &amp; Supply Forecast'!R99)</f>
        <v/>
      </c>
      <c r="J97" s="118" t="str">
        <f ca="1">IF('7. Demand &amp; Supply Forecast'!B99="","",'7. Demand &amp; Supply Forecast'!S99)</f>
        <v/>
      </c>
      <c r="K97" s="125" t="str">
        <f ca="1">IF('Hidden-Forecast Calculations'!E92="","",'Hidden-Forecast Calculations'!U92)</f>
        <v/>
      </c>
      <c r="L97" s="125" t="str">
        <f ca="1">IF('Hidden-Forecast Calculations'!E92="","",'Hidden-Forecast Calculations'!V92)</f>
        <v/>
      </c>
      <c r="M97" s="125" t="str">
        <f ca="1">IF('Hidden-Forecast Calculations'!E92="","",'Hidden-Forecast Calculations'!W92)</f>
        <v/>
      </c>
      <c r="N97" s="128" t="str">
        <f ca="1">'Hidden-Forecast Calculations'!R92</f>
        <v/>
      </c>
      <c r="O97" s="129" t="str">
        <f ca="1">'Hidden-Forecast Calculations'!S92</f>
        <v/>
      </c>
      <c r="P97" s="130" t="str">
        <f ca="1">'Hidden-Forecast Calculations'!T92</f>
        <v/>
      </c>
      <c r="Q97" s="124" t="str">
        <f ca="1">'Hidden-Forecast Calculations'!H92</f>
        <v/>
      </c>
      <c r="R97" s="124" t="str">
        <f ca="1">IF('Hidden-Forecast Calculations'!I92=0,"",'Hidden-Forecast Calculations'!I92)</f>
        <v/>
      </c>
      <c r="S97" s="131" t="str">
        <f ca="1">'Hidden-Forecast Calculations'!M92</f>
        <v/>
      </c>
    </row>
    <row r="98" spans="2:19" ht="20.100000000000001" customHeight="1" x14ac:dyDescent="0.2">
      <c r="B98" s="123" t="str">
        <f ca="1">'Hidden-Forecast Calculations'!E93</f>
        <v/>
      </c>
      <c r="C98" s="124" t="str">
        <f ca="1">'Hidden-Forecast Calculations'!J93</f>
        <v/>
      </c>
      <c r="D98" s="125" t="str">
        <f ca="1">IF('7. Demand &amp; Supply Forecast'!B100="","",'7. Demand &amp; Supply Forecast'!C100)</f>
        <v/>
      </c>
      <c r="E98" s="126" t="str">
        <f ca="1">IF('7. Demand &amp; Supply Forecast'!B100="","",'7. Demand &amp; Supply Forecast'!G100)</f>
        <v/>
      </c>
      <c r="F98" s="125" t="str">
        <f ca="1">IF('7. Demand &amp; Supply Forecast'!B100="","",'7. Demand &amp; Supply Forecast'!H100)</f>
        <v/>
      </c>
      <c r="G98" s="127" t="str">
        <f ca="1">IF('7. Demand &amp; Supply Forecast'!B100="","",'7. Demand &amp; Supply Forecast'!I100)</f>
        <v/>
      </c>
      <c r="H98" s="117" t="str">
        <f ca="1">IF('7. Demand &amp; Supply Forecast'!B100="","",'7. Demand &amp; Supply Forecast'!Q100)</f>
        <v/>
      </c>
      <c r="I98" s="116" t="str">
        <f ca="1">IF('7. Demand &amp; Supply Forecast'!B100="","",'7. Demand &amp; Supply Forecast'!R100)</f>
        <v/>
      </c>
      <c r="J98" s="118" t="str">
        <f ca="1">IF('7. Demand &amp; Supply Forecast'!B100="","",'7. Demand &amp; Supply Forecast'!S100)</f>
        <v/>
      </c>
      <c r="K98" s="125" t="str">
        <f ca="1">IF('Hidden-Forecast Calculations'!E93="","",'Hidden-Forecast Calculations'!U93)</f>
        <v/>
      </c>
      <c r="L98" s="125" t="str">
        <f ca="1">IF('Hidden-Forecast Calculations'!E93="","",'Hidden-Forecast Calculations'!V93)</f>
        <v/>
      </c>
      <c r="M98" s="125" t="str">
        <f ca="1">IF('Hidden-Forecast Calculations'!E93="","",'Hidden-Forecast Calculations'!W93)</f>
        <v/>
      </c>
      <c r="N98" s="128" t="str">
        <f ca="1">'Hidden-Forecast Calculations'!R93</f>
        <v/>
      </c>
      <c r="O98" s="129" t="str">
        <f ca="1">'Hidden-Forecast Calculations'!S93</f>
        <v/>
      </c>
      <c r="P98" s="130" t="str">
        <f ca="1">'Hidden-Forecast Calculations'!T93</f>
        <v/>
      </c>
      <c r="Q98" s="124" t="str">
        <f ca="1">'Hidden-Forecast Calculations'!H93</f>
        <v/>
      </c>
      <c r="R98" s="124" t="str">
        <f ca="1">IF('Hidden-Forecast Calculations'!I93=0,"",'Hidden-Forecast Calculations'!I93)</f>
        <v/>
      </c>
      <c r="S98" s="131" t="str">
        <f ca="1">'Hidden-Forecast Calculations'!M93</f>
        <v/>
      </c>
    </row>
    <row r="99" spans="2:19" ht="20.100000000000001" customHeight="1" x14ac:dyDescent="0.2">
      <c r="B99" s="123" t="str">
        <f ca="1">'Hidden-Forecast Calculations'!E94</f>
        <v/>
      </c>
      <c r="C99" s="124" t="str">
        <f ca="1">'Hidden-Forecast Calculations'!J94</f>
        <v/>
      </c>
      <c r="D99" s="125" t="str">
        <f ca="1">IF('7. Demand &amp; Supply Forecast'!B101="","",'7. Demand &amp; Supply Forecast'!C101)</f>
        <v/>
      </c>
      <c r="E99" s="126" t="str">
        <f ca="1">IF('7. Demand &amp; Supply Forecast'!B101="","",'7. Demand &amp; Supply Forecast'!G101)</f>
        <v/>
      </c>
      <c r="F99" s="125" t="str">
        <f ca="1">IF('7. Demand &amp; Supply Forecast'!B101="","",'7. Demand &amp; Supply Forecast'!H101)</f>
        <v/>
      </c>
      <c r="G99" s="127" t="str">
        <f ca="1">IF('7. Demand &amp; Supply Forecast'!B101="","",'7. Demand &amp; Supply Forecast'!I101)</f>
        <v/>
      </c>
      <c r="H99" s="117" t="str">
        <f ca="1">IF('7. Demand &amp; Supply Forecast'!B101="","",'7. Demand &amp; Supply Forecast'!Q101)</f>
        <v/>
      </c>
      <c r="I99" s="116" t="str">
        <f ca="1">IF('7. Demand &amp; Supply Forecast'!B101="","",'7. Demand &amp; Supply Forecast'!R101)</f>
        <v/>
      </c>
      <c r="J99" s="118" t="str">
        <f ca="1">IF('7. Demand &amp; Supply Forecast'!B101="","",'7. Demand &amp; Supply Forecast'!S101)</f>
        <v/>
      </c>
      <c r="K99" s="125" t="str">
        <f ca="1">IF('Hidden-Forecast Calculations'!E94="","",'Hidden-Forecast Calculations'!U94)</f>
        <v/>
      </c>
      <c r="L99" s="125" t="str">
        <f ca="1">IF('Hidden-Forecast Calculations'!E94="","",'Hidden-Forecast Calculations'!V94)</f>
        <v/>
      </c>
      <c r="M99" s="125" t="str">
        <f ca="1">IF('Hidden-Forecast Calculations'!E94="","",'Hidden-Forecast Calculations'!W94)</f>
        <v/>
      </c>
      <c r="N99" s="128" t="str">
        <f ca="1">'Hidden-Forecast Calculations'!R94</f>
        <v/>
      </c>
      <c r="O99" s="129" t="str">
        <f ca="1">'Hidden-Forecast Calculations'!S94</f>
        <v/>
      </c>
      <c r="P99" s="130" t="str">
        <f ca="1">'Hidden-Forecast Calculations'!T94</f>
        <v/>
      </c>
      <c r="Q99" s="124" t="str">
        <f ca="1">'Hidden-Forecast Calculations'!H94</f>
        <v/>
      </c>
      <c r="R99" s="124" t="str">
        <f ca="1">IF('Hidden-Forecast Calculations'!I94=0,"",'Hidden-Forecast Calculations'!I94)</f>
        <v/>
      </c>
      <c r="S99" s="131" t="str">
        <f ca="1">'Hidden-Forecast Calculations'!M94</f>
        <v/>
      </c>
    </row>
    <row r="100" spans="2:19" ht="20.100000000000001" customHeight="1" x14ac:dyDescent="0.2">
      <c r="B100" s="123" t="str">
        <f ca="1">'Hidden-Forecast Calculations'!E95</f>
        <v/>
      </c>
      <c r="C100" s="124" t="str">
        <f ca="1">'Hidden-Forecast Calculations'!J95</f>
        <v/>
      </c>
      <c r="D100" s="125" t="str">
        <f ca="1">IF('7. Demand &amp; Supply Forecast'!B102="","",'7. Demand &amp; Supply Forecast'!C102)</f>
        <v/>
      </c>
      <c r="E100" s="126" t="str">
        <f ca="1">IF('7. Demand &amp; Supply Forecast'!B102="","",'7. Demand &amp; Supply Forecast'!G102)</f>
        <v/>
      </c>
      <c r="F100" s="125" t="str">
        <f ca="1">IF('7. Demand &amp; Supply Forecast'!B102="","",'7. Demand &amp; Supply Forecast'!H102)</f>
        <v/>
      </c>
      <c r="G100" s="127" t="str">
        <f ca="1">IF('7. Demand &amp; Supply Forecast'!B102="","",'7. Demand &amp; Supply Forecast'!I102)</f>
        <v/>
      </c>
      <c r="H100" s="117" t="str">
        <f ca="1">IF('7. Demand &amp; Supply Forecast'!B102="","",'7. Demand &amp; Supply Forecast'!Q102)</f>
        <v/>
      </c>
      <c r="I100" s="116" t="str">
        <f ca="1">IF('7. Demand &amp; Supply Forecast'!B102="","",'7. Demand &amp; Supply Forecast'!R102)</f>
        <v/>
      </c>
      <c r="J100" s="118" t="str">
        <f ca="1">IF('7. Demand &amp; Supply Forecast'!B102="","",'7. Demand &amp; Supply Forecast'!S102)</f>
        <v/>
      </c>
      <c r="K100" s="125" t="str">
        <f ca="1">IF('Hidden-Forecast Calculations'!E95="","",'Hidden-Forecast Calculations'!U95)</f>
        <v/>
      </c>
      <c r="L100" s="125" t="str">
        <f ca="1">IF('Hidden-Forecast Calculations'!E95="","",'Hidden-Forecast Calculations'!V95)</f>
        <v/>
      </c>
      <c r="M100" s="125" t="str">
        <f ca="1">IF('Hidden-Forecast Calculations'!E95="","",'Hidden-Forecast Calculations'!W95)</f>
        <v/>
      </c>
      <c r="N100" s="128" t="str">
        <f ca="1">'Hidden-Forecast Calculations'!R95</f>
        <v/>
      </c>
      <c r="O100" s="129" t="str">
        <f ca="1">'Hidden-Forecast Calculations'!S95</f>
        <v/>
      </c>
      <c r="P100" s="130" t="str">
        <f ca="1">'Hidden-Forecast Calculations'!T95</f>
        <v/>
      </c>
      <c r="Q100" s="124" t="str">
        <f ca="1">'Hidden-Forecast Calculations'!H95</f>
        <v/>
      </c>
      <c r="R100" s="124" t="str">
        <f ca="1">IF('Hidden-Forecast Calculations'!I95=0,"",'Hidden-Forecast Calculations'!I95)</f>
        <v/>
      </c>
      <c r="S100" s="131" t="str">
        <f ca="1">'Hidden-Forecast Calculations'!M95</f>
        <v/>
      </c>
    </row>
    <row r="101" spans="2:19" ht="20.100000000000001" customHeight="1" x14ac:dyDescent="0.2">
      <c r="B101" s="123" t="str">
        <f ca="1">'Hidden-Forecast Calculations'!E96</f>
        <v/>
      </c>
      <c r="C101" s="124" t="str">
        <f ca="1">'Hidden-Forecast Calculations'!J96</f>
        <v/>
      </c>
      <c r="D101" s="125" t="str">
        <f ca="1">IF('7. Demand &amp; Supply Forecast'!B103="","",'7. Demand &amp; Supply Forecast'!C103)</f>
        <v/>
      </c>
      <c r="E101" s="126" t="str">
        <f ca="1">IF('7. Demand &amp; Supply Forecast'!B103="","",'7. Demand &amp; Supply Forecast'!G103)</f>
        <v/>
      </c>
      <c r="F101" s="125" t="str">
        <f ca="1">IF('7. Demand &amp; Supply Forecast'!B103="","",'7. Demand &amp; Supply Forecast'!H103)</f>
        <v/>
      </c>
      <c r="G101" s="127" t="str">
        <f ca="1">IF('7. Demand &amp; Supply Forecast'!B103="","",'7. Demand &amp; Supply Forecast'!I103)</f>
        <v/>
      </c>
      <c r="H101" s="117" t="str">
        <f ca="1">IF('7. Demand &amp; Supply Forecast'!B103="","",'7. Demand &amp; Supply Forecast'!Q103)</f>
        <v/>
      </c>
      <c r="I101" s="116" t="str">
        <f ca="1">IF('7. Demand &amp; Supply Forecast'!B103="","",'7. Demand &amp; Supply Forecast'!R103)</f>
        <v/>
      </c>
      <c r="J101" s="118" t="str">
        <f ca="1">IF('7. Demand &amp; Supply Forecast'!B103="","",'7. Demand &amp; Supply Forecast'!S103)</f>
        <v/>
      </c>
      <c r="K101" s="125" t="str">
        <f ca="1">IF('Hidden-Forecast Calculations'!E96="","",'Hidden-Forecast Calculations'!U96)</f>
        <v/>
      </c>
      <c r="L101" s="125" t="str">
        <f ca="1">IF('Hidden-Forecast Calculations'!E96="","",'Hidden-Forecast Calculations'!V96)</f>
        <v/>
      </c>
      <c r="M101" s="125" t="str">
        <f ca="1">IF('Hidden-Forecast Calculations'!E96="","",'Hidden-Forecast Calculations'!W96)</f>
        <v/>
      </c>
      <c r="N101" s="128" t="str">
        <f ca="1">'Hidden-Forecast Calculations'!R96</f>
        <v/>
      </c>
      <c r="O101" s="129" t="str">
        <f ca="1">'Hidden-Forecast Calculations'!S96</f>
        <v/>
      </c>
      <c r="P101" s="130" t="str">
        <f ca="1">'Hidden-Forecast Calculations'!T96</f>
        <v/>
      </c>
      <c r="Q101" s="124" t="str">
        <f ca="1">'Hidden-Forecast Calculations'!H96</f>
        <v/>
      </c>
      <c r="R101" s="124" t="str">
        <f ca="1">IF('Hidden-Forecast Calculations'!I96=0,"",'Hidden-Forecast Calculations'!I96)</f>
        <v/>
      </c>
      <c r="S101" s="131" t="str">
        <f ca="1">'Hidden-Forecast Calculations'!M96</f>
        <v/>
      </c>
    </row>
    <row r="102" spans="2:19" ht="20.100000000000001" customHeight="1" x14ac:dyDescent="0.2">
      <c r="B102" s="123" t="str">
        <f ca="1">'Hidden-Forecast Calculations'!E97</f>
        <v/>
      </c>
      <c r="C102" s="124" t="str">
        <f ca="1">'Hidden-Forecast Calculations'!J97</f>
        <v/>
      </c>
      <c r="D102" s="125" t="str">
        <f ca="1">IF('7. Demand &amp; Supply Forecast'!B104="","",'7. Demand &amp; Supply Forecast'!C104)</f>
        <v/>
      </c>
      <c r="E102" s="126" t="str">
        <f ca="1">IF('7. Demand &amp; Supply Forecast'!B104="","",'7. Demand &amp; Supply Forecast'!G104)</f>
        <v/>
      </c>
      <c r="F102" s="125" t="str">
        <f ca="1">IF('7. Demand &amp; Supply Forecast'!B104="","",'7. Demand &amp; Supply Forecast'!H104)</f>
        <v/>
      </c>
      <c r="G102" s="127" t="str">
        <f ca="1">IF('7. Demand &amp; Supply Forecast'!B104="","",'7. Demand &amp; Supply Forecast'!I104)</f>
        <v/>
      </c>
      <c r="H102" s="117" t="str">
        <f ca="1">IF('7. Demand &amp; Supply Forecast'!B104="","",'7. Demand &amp; Supply Forecast'!Q104)</f>
        <v/>
      </c>
      <c r="I102" s="116" t="str">
        <f ca="1">IF('7. Demand &amp; Supply Forecast'!B104="","",'7. Demand &amp; Supply Forecast'!R104)</f>
        <v/>
      </c>
      <c r="J102" s="118" t="str">
        <f ca="1">IF('7. Demand &amp; Supply Forecast'!B104="","",'7. Demand &amp; Supply Forecast'!S104)</f>
        <v/>
      </c>
      <c r="K102" s="125" t="str">
        <f ca="1">IF('Hidden-Forecast Calculations'!E97="","",'Hidden-Forecast Calculations'!U97)</f>
        <v/>
      </c>
      <c r="L102" s="125" t="str">
        <f ca="1">IF('Hidden-Forecast Calculations'!E97="","",'Hidden-Forecast Calculations'!V97)</f>
        <v/>
      </c>
      <c r="M102" s="125" t="str">
        <f ca="1">IF('Hidden-Forecast Calculations'!E97="","",'Hidden-Forecast Calculations'!W97)</f>
        <v/>
      </c>
      <c r="N102" s="128" t="str">
        <f ca="1">'Hidden-Forecast Calculations'!R97</f>
        <v/>
      </c>
      <c r="O102" s="129" t="str">
        <f ca="1">'Hidden-Forecast Calculations'!S97</f>
        <v/>
      </c>
      <c r="P102" s="130" t="str">
        <f ca="1">'Hidden-Forecast Calculations'!T97</f>
        <v/>
      </c>
      <c r="Q102" s="124" t="str">
        <f ca="1">'Hidden-Forecast Calculations'!H97</f>
        <v/>
      </c>
      <c r="R102" s="124" t="str">
        <f ca="1">IF('Hidden-Forecast Calculations'!I97=0,"",'Hidden-Forecast Calculations'!I97)</f>
        <v/>
      </c>
      <c r="S102" s="131" t="str">
        <f ca="1">'Hidden-Forecast Calculations'!M97</f>
        <v/>
      </c>
    </row>
    <row r="103" spans="2:19" ht="20.100000000000001" customHeight="1" x14ac:dyDescent="0.2">
      <c r="B103" s="123" t="str">
        <f ca="1">'Hidden-Forecast Calculations'!E98</f>
        <v/>
      </c>
      <c r="C103" s="124" t="str">
        <f ca="1">'Hidden-Forecast Calculations'!J98</f>
        <v/>
      </c>
      <c r="D103" s="125" t="str">
        <f ca="1">IF('7. Demand &amp; Supply Forecast'!B105="","",'7. Demand &amp; Supply Forecast'!C105)</f>
        <v/>
      </c>
      <c r="E103" s="126" t="str">
        <f ca="1">IF('7. Demand &amp; Supply Forecast'!B105="","",'7. Demand &amp; Supply Forecast'!G105)</f>
        <v/>
      </c>
      <c r="F103" s="125" t="str">
        <f ca="1">IF('7. Demand &amp; Supply Forecast'!B105="","",'7. Demand &amp; Supply Forecast'!H105)</f>
        <v/>
      </c>
      <c r="G103" s="127" t="str">
        <f ca="1">IF('7. Demand &amp; Supply Forecast'!B105="","",'7. Demand &amp; Supply Forecast'!I105)</f>
        <v/>
      </c>
      <c r="H103" s="117" t="str">
        <f ca="1">IF('7. Demand &amp; Supply Forecast'!B105="","",'7. Demand &amp; Supply Forecast'!Q105)</f>
        <v/>
      </c>
      <c r="I103" s="116" t="str">
        <f ca="1">IF('7. Demand &amp; Supply Forecast'!B105="","",'7. Demand &amp; Supply Forecast'!R105)</f>
        <v/>
      </c>
      <c r="J103" s="118" t="str">
        <f ca="1">IF('7. Demand &amp; Supply Forecast'!B105="","",'7. Demand &amp; Supply Forecast'!S105)</f>
        <v/>
      </c>
      <c r="K103" s="125" t="str">
        <f ca="1">IF('Hidden-Forecast Calculations'!E98="","",'Hidden-Forecast Calculations'!U98)</f>
        <v/>
      </c>
      <c r="L103" s="125" t="str">
        <f ca="1">IF('Hidden-Forecast Calculations'!E98="","",'Hidden-Forecast Calculations'!V98)</f>
        <v/>
      </c>
      <c r="M103" s="125" t="str">
        <f ca="1">IF('Hidden-Forecast Calculations'!E98="","",'Hidden-Forecast Calculations'!W98)</f>
        <v/>
      </c>
      <c r="N103" s="128" t="str">
        <f ca="1">'Hidden-Forecast Calculations'!R98</f>
        <v/>
      </c>
      <c r="O103" s="129" t="str">
        <f ca="1">'Hidden-Forecast Calculations'!S98</f>
        <v/>
      </c>
      <c r="P103" s="130" t="str">
        <f ca="1">'Hidden-Forecast Calculations'!T98</f>
        <v/>
      </c>
      <c r="Q103" s="124" t="str">
        <f ca="1">'Hidden-Forecast Calculations'!H98</f>
        <v/>
      </c>
      <c r="R103" s="124" t="str">
        <f ca="1">IF('Hidden-Forecast Calculations'!I98=0,"",'Hidden-Forecast Calculations'!I98)</f>
        <v/>
      </c>
      <c r="S103" s="131" t="str">
        <f ca="1">'Hidden-Forecast Calculations'!M98</f>
        <v/>
      </c>
    </row>
    <row r="104" spans="2:19" ht="20.100000000000001" customHeight="1" x14ac:dyDescent="0.2">
      <c r="B104" s="123" t="str">
        <f ca="1">'Hidden-Forecast Calculations'!E99</f>
        <v/>
      </c>
      <c r="C104" s="124" t="str">
        <f ca="1">'Hidden-Forecast Calculations'!J99</f>
        <v/>
      </c>
      <c r="D104" s="125" t="str">
        <f ca="1">IF('7. Demand &amp; Supply Forecast'!B106="","",'7. Demand &amp; Supply Forecast'!C106)</f>
        <v/>
      </c>
      <c r="E104" s="126" t="str">
        <f ca="1">IF('7. Demand &amp; Supply Forecast'!B106="","",'7. Demand &amp; Supply Forecast'!G106)</f>
        <v/>
      </c>
      <c r="F104" s="125" t="str">
        <f ca="1">IF('7. Demand &amp; Supply Forecast'!B106="","",'7. Demand &amp; Supply Forecast'!H106)</f>
        <v/>
      </c>
      <c r="G104" s="127" t="str">
        <f ca="1">IF('7. Demand &amp; Supply Forecast'!B106="","",'7. Demand &amp; Supply Forecast'!I106)</f>
        <v/>
      </c>
      <c r="H104" s="117" t="str">
        <f ca="1">IF('7. Demand &amp; Supply Forecast'!B106="","",'7. Demand &amp; Supply Forecast'!Q106)</f>
        <v/>
      </c>
      <c r="I104" s="116" t="str">
        <f ca="1">IF('7. Demand &amp; Supply Forecast'!B106="","",'7. Demand &amp; Supply Forecast'!R106)</f>
        <v/>
      </c>
      <c r="J104" s="118" t="str">
        <f ca="1">IF('7. Demand &amp; Supply Forecast'!B106="","",'7. Demand &amp; Supply Forecast'!S106)</f>
        <v/>
      </c>
      <c r="K104" s="125" t="str">
        <f ca="1">IF('Hidden-Forecast Calculations'!E99="","",'Hidden-Forecast Calculations'!U99)</f>
        <v/>
      </c>
      <c r="L104" s="125" t="str">
        <f ca="1">IF('Hidden-Forecast Calculations'!E99="","",'Hidden-Forecast Calculations'!V99)</f>
        <v/>
      </c>
      <c r="M104" s="125" t="str">
        <f ca="1">IF('Hidden-Forecast Calculations'!E99="","",'Hidden-Forecast Calculations'!W99)</f>
        <v/>
      </c>
      <c r="N104" s="128" t="str">
        <f ca="1">'Hidden-Forecast Calculations'!R99</f>
        <v/>
      </c>
      <c r="O104" s="129" t="str">
        <f ca="1">'Hidden-Forecast Calculations'!S99</f>
        <v/>
      </c>
      <c r="P104" s="130" t="str">
        <f ca="1">'Hidden-Forecast Calculations'!T99</f>
        <v/>
      </c>
      <c r="Q104" s="124" t="str">
        <f ca="1">'Hidden-Forecast Calculations'!H99</f>
        <v/>
      </c>
      <c r="R104" s="124" t="str">
        <f ca="1">IF('Hidden-Forecast Calculations'!I99=0,"",'Hidden-Forecast Calculations'!I99)</f>
        <v/>
      </c>
      <c r="S104" s="131" t="str">
        <f ca="1">'Hidden-Forecast Calculations'!M99</f>
        <v/>
      </c>
    </row>
    <row r="105" spans="2:19" ht="20.100000000000001" customHeight="1" x14ac:dyDescent="0.2">
      <c r="B105" s="123" t="str">
        <f ca="1">'Hidden-Forecast Calculations'!E100</f>
        <v/>
      </c>
      <c r="C105" s="124" t="str">
        <f ca="1">'Hidden-Forecast Calculations'!J100</f>
        <v/>
      </c>
      <c r="D105" s="125" t="str">
        <f ca="1">IF('7. Demand &amp; Supply Forecast'!B107="","",'7. Demand &amp; Supply Forecast'!C107)</f>
        <v/>
      </c>
      <c r="E105" s="126" t="str">
        <f ca="1">IF('7. Demand &amp; Supply Forecast'!B107="","",'7. Demand &amp; Supply Forecast'!G107)</f>
        <v/>
      </c>
      <c r="F105" s="125" t="str">
        <f ca="1">IF('7. Demand &amp; Supply Forecast'!B107="","",'7. Demand &amp; Supply Forecast'!H107)</f>
        <v/>
      </c>
      <c r="G105" s="127" t="str">
        <f ca="1">IF('7. Demand &amp; Supply Forecast'!B107="","",'7. Demand &amp; Supply Forecast'!I107)</f>
        <v/>
      </c>
      <c r="H105" s="117" t="str">
        <f ca="1">IF('7. Demand &amp; Supply Forecast'!B107="","",'7. Demand &amp; Supply Forecast'!Q107)</f>
        <v/>
      </c>
      <c r="I105" s="116" t="str">
        <f ca="1">IF('7. Demand &amp; Supply Forecast'!B107="","",'7. Demand &amp; Supply Forecast'!R107)</f>
        <v/>
      </c>
      <c r="J105" s="118" t="str">
        <f ca="1">IF('7. Demand &amp; Supply Forecast'!B107="","",'7. Demand &amp; Supply Forecast'!S107)</f>
        <v/>
      </c>
      <c r="K105" s="125" t="str">
        <f ca="1">IF('Hidden-Forecast Calculations'!E100="","",'Hidden-Forecast Calculations'!U100)</f>
        <v/>
      </c>
      <c r="L105" s="125" t="str">
        <f ca="1">IF('Hidden-Forecast Calculations'!E100="","",'Hidden-Forecast Calculations'!V100)</f>
        <v/>
      </c>
      <c r="M105" s="125" t="str">
        <f ca="1">IF('Hidden-Forecast Calculations'!E100="","",'Hidden-Forecast Calculations'!W100)</f>
        <v/>
      </c>
      <c r="N105" s="128" t="str">
        <f ca="1">'Hidden-Forecast Calculations'!R100</f>
        <v/>
      </c>
      <c r="O105" s="129" t="str">
        <f ca="1">'Hidden-Forecast Calculations'!S100</f>
        <v/>
      </c>
      <c r="P105" s="130" t="str">
        <f ca="1">'Hidden-Forecast Calculations'!T100</f>
        <v/>
      </c>
      <c r="Q105" s="124" t="str">
        <f ca="1">'Hidden-Forecast Calculations'!H100</f>
        <v/>
      </c>
      <c r="R105" s="124" t="str">
        <f ca="1">IF('Hidden-Forecast Calculations'!I100=0,"",'Hidden-Forecast Calculations'!I100)</f>
        <v/>
      </c>
      <c r="S105" s="131" t="str">
        <f ca="1">'Hidden-Forecast Calculations'!M100</f>
        <v/>
      </c>
    </row>
    <row r="106" spans="2:19" ht="20.100000000000001" customHeight="1" x14ac:dyDescent="0.2">
      <c r="B106" s="123" t="str">
        <f ca="1">'Hidden-Forecast Calculations'!E101</f>
        <v/>
      </c>
      <c r="C106" s="124" t="str">
        <f ca="1">'Hidden-Forecast Calculations'!J101</f>
        <v/>
      </c>
      <c r="D106" s="125" t="str">
        <f ca="1">IF('7. Demand &amp; Supply Forecast'!B108="","",'7. Demand &amp; Supply Forecast'!C108)</f>
        <v/>
      </c>
      <c r="E106" s="126" t="str">
        <f ca="1">IF('7. Demand &amp; Supply Forecast'!B108="","",'7. Demand &amp; Supply Forecast'!G108)</f>
        <v/>
      </c>
      <c r="F106" s="125" t="str">
        <f ca="1">IF('7. Demand &amp; Supply Forecast'!B108="","",'7. Demand &amp; Supply Forecast'!H108)</f>
        <v/>
      </c>
      <c r="G106" s="127" t="str">
        <f ca="1">IF('7. Demand &amp; Supply Forecast'!B108="","",'7. Demand &amp; Supply Forecast'!I108)</f>
        <v/>
      </c>
      <c r="H106" s="117" t="str">
        <f ca="1">IF('7. Demand &amp; Supply Forecast'!B108="","",'7. Demand &amp; Supply Forecast'!Q108)</f>
        <v/>
      </c>
      <c r="I106" s="116" t="str">
        <f ca="1">IF('7. Demand &amp; Supply Forecast'!B108="","",'7. Demand &amp; Supply Forecast'!R108)</f>
        <v/>
      </c>
      <c r="J106" s="118" t="str">
        <f ca="1">IF('7. Demand &amp; Supply Forecast'!B108="","",'7. Demand &amp; Supply Forecast'!S108)</f>
        <v/>
      </c>
      <c r="K106" s="125" t="str">
        <f ca="1">IF('Hidden-Forecast Calculations'!E101="","",'Hidden-Forecast Calculations'!U101)</f>
        <v/>
      </c>
      <c r="L106" s="125" t="str">
        <f ca="1">IF('Hidden-Forecast Calculations'!E101="","",'Hidden-Forecast Calculations'!V101)</f>
        <v/>
      </c>
      <c r="M106" s="125" t="str">
        <f ca="1">IF('Hidden-Forecast Calculations'!E101="","",'Hidden-Forecast Calculations'!W101)</f>
        <v/>
      </c>
      <c r="N106" s="128" t="str">
        <f ca="1">'Hidden-Forecast Calculations'!R101</f>
        <v/>
      </c>
      <c r="O106" s="129" t="str">
        <f ca="1">'Hidden-Forecast Calculations'!S101</f>
        <v/>
      </c>
      <c r="P106" s="130" t="str">
        <f ca="1">'Hidden-Forecast Calculations'!T101</f>
        <v/>
      </c>
      <c r="Q106" s="124" t="str">
        <f ca="1">'Hidden-Forecast Calculations'!H101</f>
        <v/>
      </c>
      <c r="R106" s="124" t="str">
        <f ca="1">IF('Hidden-Forecast Calculations'!I101=0,"",'Hidden-Forecast Calculations'!I101)</f>
        <v/>
      </c>
      <c r="S106" s="131" t="str">
        <f ca="1">'Hidden-Forecast Calculations'!M101</f>
        <v/>
      </c>
    </row>
    <row r="107" spans="2:19" ht="20.100000000000001" customHeight="1" x14ac:dyDescent="0.2">
      <c r="B107" s="123" t="str">
        <f ca="1">'Hidden-Forecast Calculations'!E102</f>
        <v/>
      </c>
      <c r="C107" s="124" t="str">
        <f ca="1">'Hidden-Forecast Calculations'!J102</f>
        <v/>
      </c>
      <c r="D107" s="125" t="str">
        <f ca="1">IF('7. Demand &amp; Supply Forecast'!B109="","",'7. Demand &amp; Supply Forecast'!C109)</f>
        <v/>
      </c>
      <c r="E107" s="126" t="str">
        <f ca="1">IF('7. Demand &amp; Supply Forecast'!B109="","",'7. Demand &amp; Supply Forecast'!G109)</f>
        <v/>
      </c>
      <c r="F107" s="125" t="str">
        <f ca="1">IF('7. Demand &amp; Supply Forecast'!B109="","",'7. Demand &amp; Supply Forecast'!H109)</f>
        <v/>
      </c>
      <c r="G107" s="127" t="str">
        <f ca="1">IF('7. Demand &amp; Supply Forecast'!B109="","",'7. Demand &amp; Supply Forecast'!I109)</f>
        <v/>
      </c>
      <c r="H107" s="117" t="str">
        <f ca="1">IF('7. Demand &amp; Supply Forecast'!B109="","",'7. Demand &amp; Supply Forecast'!Q109)</f>
        <v/>
      </c>
      <c r="I107" s="116" t="str">
        <f ca="1">IF('7. Demand &amp; Supply Forecast'!B109="","",'7. Demand &amp; Supply Forecast'!R109)</f>
        <v/>
      </c>
      <c r="J107" s="118" t="str">
        <f ca="1">IF('7. Demand &amp; Supply Forecast'!B109="","",'7. Demand &amp; Supply Forecast'!S109)</f>
        <v/>
      </c>
      <c r="K107" s="125" t="str">
        <f ca="1">IF('Hidden-Forecast Calculations'!E102="","",'Hidden-Forecast Calculations'!U102)</f>
        <v/>
      </c>
      <c r="L107" s="125" t="str">
        <f ca="1">IF('Hidden-Forecast Calculations'!E102="","",'Hidden-Forecast Calculations'!V102)</f>
        <v/>
      </c>
      <c r="M107" s="125" t="str">
        <f ca="1">IF('Hidden-Forecast Calculations'!E102="","",'Hidden-Forecast Calculations'!W102)</f>
        <v/>
      </c>
      <c r="N107" s="128" t="str">
        <f ca="1">'Hidden-Forecast Calculations'!R102</f>
        <v/>
      </c>
      <c r="O107" s="129" t="str">
        <f ca="1">'Hidden-Forecast Calculations'!S102</f>
        <v/>
      </c>
      <c r="P107" s="130" t="str">
        <f ca="1">'Hidden-Forecast Calculations'!T102</f>
        <v/>
      </c>
      <c r="Q107" s="124" t="str">
        <f ca="1">'Hidden-Forecast Calculations'!H102</f>
        <v/>
      </c>
      <c r="R107" s="124" t="str">
        <f ca="1">IF('Hidden-Forecast Calculations'!I102=0,"",'Hidden-Forecast Calculations'!I102)</f>
        <v/>
      </c>
      <c r="S107" s="131" t="str">
        <f ca="1">'Hidden-Forecast Calculations'!M102</f>
        <v/>
      </c>
    </row>
    <row r="108" spans="2:19" ht="20.100000000000001" customHeight="1" thickBot="1" x14ac:dyDescent="0.25">
      <c r="B108" s="132" t="str">
        <f ca="1">'Hidden-Forecast Calculations'!E103</f>
        <v/>
      </c>
      <c r="C108" s="133" t="str">
        <f ca="1">'Hidden-Forecast Calculations'!J103</f>
        <v/>
      </c>
      <c r="D108" s="134" t="str">
        <f ca="1">IF('7. Demand &amp; Supply Forecast'!B110="","",'7. Demand &amp; Supply Forecast'!C110)</f>
        <v/>
      </c>
      <c r="E108" s="135" t="str">
        <f ca="1">IF('7. Demand &amp; Supply Forecast'!B110="","",'7. Demand &amp; Supply Forecast'!G110)</f>
        <v/>
      </c>
      <c r="F108" s="134" t="str">
        <f ca="1">IF('7. Demand &amp; Supply Forecast'!B110="","",'7. Demand &amp; Supply Forecast'!H110)</f>
        <v/>
      </c>
      <c r="G108" s="136" t="str">
        <f ca="1">IF('7. Demand &amp; Supply Forecast'!B110="","",'7. Demand &amp; Supply Forecast'!I110)</f>
        <v/>
      </c>
      <c r="H108" s="117" t="str">
        <f ca="1">IF('7. Demand &amp; Supply Forecast'!B110="","",'7. Demand &amp; Supply Forecast'!Q110)</f>
        <v/>
      </c>
      <c r="I108" s="116" t="str">
        <f ca="1">IF('7. Demand &amp; Supply Forecast'!B110="","",'7. Demand &amp; Supply Forecast'!R110)</f>
        <v/>
      </c>
      <c r="J108" s="118" t="str">
        <f ca="1">IF('7. Demand &amp; Supply Forecast'!B110="","",'7. Demand &amp; Supply Forecast'!S110)</f>
        <v/>
      </c>
      <c r="K108" s="134" t="str">
        <f ca="1">IF('Hidden-Forecast Calculations'!E103="","",'Hidden-Forecast Calculations'!U103)</f>
        <v/>
      </c>
      <c r="L108" s="134" t="str">
        <f ca="1">IF('Hidden-Forecast Calculations'!E103="","",'Hidden-Forecast Calculations'!V103)</f>
        <v/>
      </c>
      <c r="M108" s="134" t="str">
        <f ca="1">IF('Hidden-Forecast Calculations'!E103="","",'Hidden-Forecast Calculations'!W103)</f>
        <v/>
      </c>
      <c r="N108" s="137" t="str">
        <f ca="1">'Hidden-Forecast Calculations'!R103</f>
        <v/>
      </c>
      <c r="O108" s="138" t="str">
        <f ca="1">'Hidden-Forecast Calculations'!S103</f>
        <v/>
      </c>
      <c r="P108" s="139" t="str">
        <f ca="1">'Hidden-Forecast Calculations'!T103</f>
        <v/>
      </c>
      <c r="Q108" s="133" t="str">
        <f ca="1">'Hidden-Forecast Calculations'!H103</f>
        <v/>
      </c>
      <c r="R108" s="133" t="str">
        <f ca="1">IF('Hidden-Forecast Calculations'!I103=0,"",'Hidden-Forecast Calculations'!I103)</f>
        <v/>
      </c>
      <c r="S108" s="140" t="str">
        <f ca="1">'Hidden-Forecast Calculations'!M103</f>
        <v/>
      </c>
    </row>
    <row r="109" spans="2:19" x14ac:dyDescent="0.2">
      <c r="B109" s="2"/>
    </row>
    <row r="110" spans="2:19" x14ac:dyDescent="0.2">
      <c r="B110" s="2"/>
    </row>
  </sheetData>
  <mergeCells count="8">
    <mergeCell ref="H6:J6"/>
    <mergeCell ref="B6:D6"/>
    <mergeCell ref="B2:S2"/>
    <mergeCell ref="E6:G6"/>
    <mergeCell ref="K6:M6"/>
    <mergeCell ref="N6:P6"/>
    <mergeCell ref="Q6:S6"/>
    <mergeCell ref="B3:S3"/>
  </mergeCells>
  <pageMargins left="0.25" right="0.25" top="0.75" bottom="0.75" header="0.3" footer="0.3"/>
  <pageSetup paperSize="5" scale="80" fitToHeight="0"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 id="{C9207E8B-5E0E-4521-B212-C5B894EB4077}">
            <xm:f>'Hidden-Forecast Calculations'!$N3&gt;0</xm:f>
            <x14:dxf>
              <fill>
                <patternFill>
                  <bgColor theme="7"/>
                </patternFill>
              </fill>
            </x14:dxf>
          </x14:cfRule>
          <x14:cfRule type="expression" priority="2" id="{6CC7C388-594F-4100-B83E-09737899AE60}">
            <xm:f>'Hidden-Forecast Calculations'!$N3&lt;0</xm:f>
            <x14:dxf>
              <fill>
                <patternFill>
                  <bgColor theme="9" tint="0.39994506668294322"/>
                </patternFill>
              </fill>
            </x14:dxf>
          </x14:cfRule>
          <xm:sqref>S8:S108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B1:Q31"/>
  <sheetViews>
    <sheetView showGridLines="0" zoomScaleNormal="100" workbookViewId="0"/>
  </sheetViews>
  <sheetFormatPr defaultColWidth="9" defaultRowHeight="14.25" x14ac:dyDescent="0.2"/>
  <cols>
    <col min="1" max="1" width="2.5" style="15" customWidth="1"/>
    <col min="2" max="3" width="33" style="15" customWidth="1"/>
    <col min="4" max="4" width="18.125" style="15" customWidth="1"/>
    <col min="5" max="5" width="14.875" style="15" customWidth="1"/>
    <col min="6" max="6" width="11.625" style="15" customWidth="1"/>
    <col min="7" max="7" width="14.25" style="15" bestFit="1" customWidth="1"/>
    <col min="8" max="8" width="24.625" style="15" customWidth="1"/>
    <col min="9" max="9" width="33.625" style="15" customWidth="1"/>
    <col min="10" max="10" width="11.25" style="15" customWidth="1"/>
    <col min="11" max="16384" width="9" style="15"/>
  </cols>
  <sheetData>
    <row r="1" spans="2:17" ht="15" customHeight="1" x14ac:dyDescent="0.2"/>
    <row r="2" spans="2:17" ht="33.75" customHeight="1" x14ac:dyDescent="0.2">
      <c r="B2" s="213" t="s">
        <v>135</v>
      </c>
      <c r="C2" s="213"/>
      <c r="D2" s="213"/>
      <c r="E2" s="213"/>
      <c r="F2" s="213"/>
      <c r="G2" s="213"/>
      <c r="H2" s="213"/>
      <c r="I2" s="213"/>
      <c r="J2" s="213"/>
    </row>
    <row r="3" spans="2:17" ht="53.25" customHeight="1" x14ac:dyDescent="0.2">
      <c r="B3" s="237" t="s">
        <v>136</v>
      </c>
      <c r="C3" s="237"/>
      <c r="D3" s="237"/>
      <c r="E3" s="237"/>
      <c r="F3" s="237"/>
      <c r="G3" s="237"/>
      <c r="H3" s="237"/>
      <c r="I3" s="237"/>
      <c r="J3" s="237"/>
      <c r="K3" s="1"/>
      <c r="L3" s="1"/>
      <c r="M3" s="1"/>
      <c r="N3" s="1"/>
      <c r="O3" s="1"/>
      <c r="P3" s="1"/>
      <c r="Q3" s="1"/>
    </row>
    <row r="4" spans="2:17" ht="15" thickBot="1" x14ac:dyDescent="0.25"/>
    <row r="5" spans="2:17" ht="45.75" customHeight="1" x14ac:dyDescent="0.2">
      <c r="B5" s="170" t="s">
        <v>137</v>
      </c>
      <c r="C5" s="171" t="s">
        <v>138</v>
      </c>
      <c r="D5" s="171" t="s">
        <v>139</v>
      </c>
      <c r="E5" s="171" t="s">
        <v>140</v>
      </c>
      <c r="F5" s="171" t="s">
        <v>141</v>
      </c>
      <c r="G5" s="171" t="s">
        <v>142</v>
      </c>
      <c r="H5" s="171" t="s">
        <v>143</v>
      </c>
      <c r="I5" s="171" t="s">
        <v>144</v>
      </c>
      <c r="J5" s="172" t="s">
        <v>145</v>
      </c>
    </row>
    <row r="6" spans="2:17" ht="38.25" x14ac:dyDescent="0.2">
      <c r="B6" s="150" t="s">
        <v>146</v>
      </c>
      <c r="C6" s="156" t="s">
        <v>147</v>
      </c>
      <c r="D6" s="100" t="s">
        <v>148</v>
      </c>
      <c r="E6" s="100" t="s">
        <v>149</v>
      </c>
      <c r="F6" s="101">
        <v>42988</v>
      </c>
      <c r="G6" s="101">
        <v>43079</v>
      </c>
      <c r="H6" s="100" t="s">
        <v>150</v>
      </c>
      <c r="I6" s="100" t="s">
        <v>151</v>
      </c>
      <c r="J6" s="151" t="s">
        <v>152</v>
      </c>
    </row>
    <row r="7" spans="2:17" x14ac:dyDescent="0.2">
      <c r="B7" s="152"/>
      <c r="C7" s="157"/>
      <c r="D7" s="102"/>
      <c r="E7" s="102"/>
      <c r="F7" s="102"/>
      <c r="G7" s="102"/>
      <c r="H7" s="102"/>
      <c r="I7" s="102"/>
      <c r="J7" s="151"/>
    </row>
    <row r="8" spans="2:17" x14ac:dyDescent="0.2">
      <c r="B8" s="152"/>
      <c r="C8" s="157"/>
      <c r="D8" s="102"/>
      <c r="E8" s="102"/>
      <c r="F8" s="102"/>
      <c r="G8" s="102"/>
      <c r="H8" s="102"/>
      <c r="I8" s="102"/>
      <c r="J8" s="151"/>
    </row>
    <row r="9" spans="2:17" x14ac:dyDescent="0.2">
      <c r="B9" s="152"/>
      <c r="C9" s="157"/>
      <c r="D9" s="102"/>
      <c r="E9" s="102"/>
      <c r="F9" s="102"/>
      <c r="G9" s="102"/>
      <c r="H9" s="102"/>
      <c r="I9" s="102"/>
      <c r="J9" s="151"/>
    </row>
    <row r="10" spans="2:17" x14ac:dyDescent="0.2">
      <c r="B10" s="152"/>
      <c r="C10" s="157"/>
      <c r="D10" s="102"/>
      <c r="E10" s="102"/>
      <c r="F10" s="102"/>
      <c r="G10" s="102"/>
      <c r="H10" s="102"/>
      <c r="I10" s="102"/>
      <c r="J10" s="151"/>
    </row>
    <row r="11" spans="2:17" x14ac:dyDescent="0.2">
      <c r="B11" s="152"/>
      <c r="C11" s="157"/>
      <c r="D11" s="102"/>
      <c r="E11" s="102"/>
      <c r="F11" s="102"/>
      <c r="G11" s="102"/>
      <c r="H11" s="102"/>
      <c r="I11" s="102"/>
      <c r="J11" s="151"/>
    </row>
    <row r="12" spans="2:17" x14ac:dyDescent="0.2">
      <c r="B12" s="152"/>
      <c r="C12" s="157"/>
      <c r="D12" s="102"/>
      <c r="E12" s="102"/>
      <c r="F12" s="102"/>
      <c r="G12" s="102"/>
      <c r="H12" s="102"/>
      <c r="I12" s="102"/>
      <c r="J12" s="151"/>
    </row>
    <row r="13" spans="2:17" x14ac:dyDescent="0.2">
      <c r="B13" s="152"/>
      <c r="C13" s="157"/>
      <c r="D13" s="102"/>
      <c r="E13" s="102"/>
      <c r="F13" s="102"/>
      <c r="G13" s="102"/>
      <c r="H13" s="102"/>
      <c r="I13" s="102"/>
      <c r="J13" s="151"/>
    </row>
    <row r="14" spans="2:17" x14ac:dyDescent="0.2">
      <c r="B14" s="152"/>
      <c r="C14" s="157"/>
      <c r="D14" s="102"/>
      <c r="E14" s="102"/>
      <c r="F14" s="102"/>
      <c r="G14" s="102"/>
      <c r="H14" s="102"/>
      <c r="I14" s="102"/>
      <c r="J14" s="151"/>
    </row>
    <row r="15" spans="2:17" x14ac:dyDescent="0.2">
      <c r="B15" s="152"/>
      <c r="C15" s="157"/>
      <c r="D15" s="102"/>
      <c r="E15" s="102"/>
      <c r="F15" s="102"/>
      <c r="G15" s="102"/>
      <c r="H15" s="102"/>
      <c r="I15" s="102"/>
      <c r="J15" s="151"/>
    </row>
    <row r="16" spans="2:17" x14ac:dyDescent="0.2">
      <c r="B16" s="152"/>
      <c r="C16" s="157"/>
      <c r="D16" s="102"/>
      <c r="E16" s="102"/>
      <c r="F16" s="102"/>
      <c r="G16" s="102"/>
      <c r="H16" s="102"/>
      <c r="I16" s="102"/>
      <c r="J16" s="151"/>
    </row>
    <row r="17" spans="2:10" x14ac:dyDescent="0.2">
      <c r="B17" s="152"/>
      <c r="C17" s="157"/>
      <c r="D17" s="102"/>
      <c r="E17" s="102"/>
      <c r="F17" s="102"/>
      <c r="G17" s="102"/>
      <c r="H17" s="102"/>
      <c r="I17" s="102"/>
      <c r="J17" s="151"/>
    </row>
    <row r="18" spans="2:10" x14ac:dyDescent="0.2">
      <c r="B18" s="152"/>
      <c r="C18" s="157"/>
      <c r="D18" s="102"/>
      <c r="E18" s="102"/>
      <c r="F18" s="102"/>
      <c r="G18" s="102"/>
      <c r="H18" s="102"/>
      <c r="I18" s="102"/>
      <c r="J18" s="151"/>
    </row>
    <row r="19" spans="2:10" x14ac:dyDescent="0.2">
      <c r="B19" s="152"/>
      <c r="C19" s="157"/>
      <c r="D19" s="102"/>
      <c r="E19" s="102"/>
      <c r="F19" s="102"/>
      <c r="G19" s="102"/>
      <c r="H19" s="102"/>
      <c r="I19" s="102"/>
      <c r="J19" s="151"/>
    </row>
    <row r="20" spans="2:10" x14ac:dyDescent="0.2">
      <c r="B20" s="152"/>
      <c r="C20" s="157"/>
      <c r="D20" s="102"/>
      <c r="E20" s="102"/>
      <c r="F20" s="102"/>
      <c r="G20" s="102"/>
      <c r="H20" s="102"/>
      <c r="I20" s="102"/>
      <c r="J20" s="151"/>
    </row>
    <row r="21" spans="2:10" x14ac:dyDescent="0.2">
      <c r="B21" s="152"/>
      <c r="C21" s="157"/>
      <c r="D21" s="102"/>
      <c r="E21" s="102"/>
      <c r="F21" s="102"/>
      <c r="G21" s="102"/>
      <c r="H21" s="102"/>
      <c r="I21" s="102"/>
      <c r="J21" s="151"/>
    </row>
    <row r="22" spans="2:10" x14ac:dyDescent="0.2">
      <c r="B22" s="152"/>
      <c r="C22" s="157"/>
      <c r="D22" s="102"/>
      <c r="E22" s="102"/>
      <c r="F22" s="102"/>
      <c r="G22" s="102"/>
      <c r="H22" s="102"/>
      <c r="I22" s="102"/>
      <c r="J22" s="151"/>
    </row>
    <row r="23" spans="2:10" x14ac:dyDescent="0.2">
      <c r="B23" s="152"/>
      <c r="C23" s="157"/>
      <c r="D23" s="102"/>
      <c r="E23" s="102"/>
      <c r="F23" s="102"/>
      <c r="G23" s="102"/>
      <c r="H23" s="102"/>
      <c r="I23" s="102"/>
      <c r="J23" s="151"/>
    </row>
    <row r="24" spans="2:10" x14ac:dyDescent="0.2">
      <c r="B24" s="152"/>
      <c r="C24" s="157"/>
      <c r="D24" s="102"/>
      <c r="E24" s="102"/>
      <c r="F24" s="102"/>
      <c r="G24" s="102"/>
      <c r="H24" s="102"/>
      <c r="I24" s="102"/>
      <c r="J24" s="151"/>
    </row>
    <row r="25" spans="2:10" x14ac:dyDescent="0.2">
      <c r="B25" s="152"/>
      <c r="C25" s="157"/>
      <c r="D25" s="102"/>
      <c r="E25" s="102"/>
      <c r="F25" s="102"/>
      <c r="G25" s="102"/>
      <c r="H25" s="102"/>
      <c r="I25" s="102"/>
      <c r="J25" s="151"/>
    </row>
    <row r="26" spans="2:10" x14ac:dyDescent="0.2">
      <c r="B26" s="152"/>
      <c r="C26" s="157"/>
      <c r="D26" s="102"/>
      <c r="E26" s="102"/>
      <c r="F26" s="102"/>
      <c r="G26" s="102"/>
      <c r="H26" s="102"/>
      <c r="I26" s="102"/>
      <c r="J26" s="151"/>
    </row>
    <row r="27" spans="2:10" x14ac:dyDescent="0.2">
      <c r="B27" s="152"/>
      <c r="C27" s="157"/>
      <c r="D27" s="102"/>
      <c r="E27" s="102"/>
      <c r="F27" s="102"/>
      <c r="G27" s="102"/>
      <c r="H27" s="102"/>
      <c r="I27" s="102"/>
      <c r="J27" s="151"/>
    </row>
    <row r="28" spans="2:10" x14ac:dyDescent="0.2">
      <c r="B28" s="152"/>
      <c r="C28" s="157"/>
      <c r="D28" s="102"/>
      <c r="E28" s="102"/>
      <c r="F28" s="102"/>
      <c r="G28" s="102"/>
      <c r="H28" s="102"/>
      <c r="I28" s="102"/>
      <c r="J28" s="151"/>
    </row>
    <row r="29" spans="2:10" x14ac:dyDescent="0.2">
      <c r="B29" s="152"/>
      <c r="C29" s="157"/>
      <c r="D29" s="102"/>
      <c r="E29" s="102"/>
      <c r="F29" s="102"/>
      <c r="G29" s="102"/>
      <c r="H29" s="102"/>
      <c r="I29" s="102"/>
      <c r="J29" s="151"/>
    </row>
    <row r="30" spans="2:10" x14ac:dyDescent="0.2">
      <c r="B30" s="152"/>
      <c r="C30" s="157"/>
      <c r="D30" s="102"/>
      <c r="E30" s="102"/>
      <c r="F30" s="102"/>
      <c r="G30" s="102"/>
      <c r="H30" s="102"/>
      <c r="I30" s="102"/>
      <c r="J30" s="151"/>
    </row>
    <row r="31" spans="2:10" ht="15" thickBot="1" x14ac:dyDescent="0.25">
      <c r="B31" s="153"/>
      <c r="C31" s="158"/>
      <c r="D31" s="154"/>
      <c r="E31" s="154"/>
      <c r="F31" s="154"/>
      <c r="G31" s="154"/>
      <c r="H31" s="154"/>
      <c r="I31" s="154"/>
      <c r="J31" s="155"/>
    </row>
  </sheetData>
  <protectedRanges>
    <protectedRange sqref="F6:G6" name="Task Names and Dates_1_1_1"/>
  </protectedRanges>
  <mergeCells count="1">
    <mergeCell ref="B3:J3"/>
  </mergeCells>
  <conditionalFormatting sqref="J6:J31">
    <cfRule type="containsText" dxfId="124" priority="1" operator="containsText" text="Not yet started">
      <formula>NOT(ISERROR(SEARCH("Not yet started",J6)))</formula>
    </cfRule>
    <cfRule type="containsText" dxfId="123" priority="2" operator="containsText" text="Completed">
      <formula>NOT(ISERROR(SEARCH("Completed",J6)))</formula>
    </cfRule>
    <cfRule type="containsText" dxfId="122" priority="3" operator="containsText" text="In progress">
      <formula>NOT(ISERROR(SEARCH("In progress",J6)))</formula>
    </cfRule>
  </conditionalFormatting>
  <dataValidations count="2">
    <dataValidation type="date" operator="greaterThanOrEqual" allowBlank="1" showInputMessage="1" showErrorMessage="1" errorTitle="Date Error" error="Please enter a Target Completion Date that falls on or after the Target Start Date." sqref="G6" xr:uid="{00000000-0002-0000-0800-000000000000}">
      <formula1>F6</formula1>
    </dataValidation>
    <dataValidation type="list" allowBlank="1" showInputMessage="1" showErrorMessage="1" sqref="J6:J31" xr:uid="{00000000-0002-0000-0800-000001000000}">
      <formula1>action</formula1>
    </dataValidation>
  </dataValidations>
  <pageMargins left="0.7" right="0.7" top="0.75" bottom="0.75" header="0.3" footer="0.3"/>
  <pageSetup paperSize="5" scale="76" fitToHeight="0" orientation="landscape"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1:W103"/>
  <sheetViews>
    <sheetView zoomScaleNormal="100" workbookViewId="0"/>
  </sheetViews>
  <sheetFormatPr defaultColWidth="9" defaultRowHeight="14.25" x14ac:dyDescent="0.2"/>
  <cols>
    <col min="1" max="1" width="2.75" style="15" customWidth="1"/>
    <col min="2" max="2" width="16.25" style="15" customWidth="1"/>
    <col min="3" max="3" width="9" style="15"/>
    <col min="4" max="4" width="13.625" style="15" customWidth="1"/>
    <col min="5" max="5" width="16.25" style="15" customWidth="1"/>
    <col min="6" max="6" width="13.5" style="15" customWidth="1"/>
    <col min="7" max="8" width="9" style="15"/>
    <col min="9" max="9" width="14" style="15" bestFit="1" customWidth="1"/>
    <col min="10" max="10" width="14.375" style="15" customWidth="1"/>
    <col min="11" max="11" width="11.25" style="15" customWidth="1"/>
    <col min="12" max="16384" width="9" style="15"/>
  </cols>
  <sheetData>
    <row r="1" spans="2:23" ht="15" customHeight="1" x14ac:dyDescent="0.2">
      <c r="O1" s="250" t="s">
        <v>153</v>
      </c>
      <c r="P1" s="250"/>
      <c r="Q1" s="250"/>
      <c r="R1" s="250"/>
      <c r="S1" s="250"/>
      <c r="T1" s="250"/>
      <c r="U1" s="250"/>
      <c r="V1" s="250"/>
      <c r="W1" s="250"/>
    </row>
    <row r="2" spans="2:23" ht="33.75" customHeight="1" x14ac:dyDescent="0.25">
      <c r="B2" s="30" t="s">
        <v>29</v>
      </c>
      <c r="C2" s="15" t="s">
        <v>154</v>
      </c>
      <c r="D2" s="15" t="s">
        <v>155</v>
      </c>
      <c r="E2" s="15" t="s">
        <v>156</v>
      </c>
      <c r="F2" s="15" t="s">
        <v>157</v>
      </c>
      <c r="G2" s="15" t="s">
        <v>117</v>
      </c>
      <c r="H2" s="15" t="s">
        <v>158</v>
      </c>
      <c r="I2" s="15" t="s">
        <v>159</v>
      </c>
      <c r="J2" s="15" t="s">
        <v>90</v>
      </c>
      <c r="K2" s="15" t="s">
        <v>124</v>
      </c>
      <c r="L2" s="15" t="s">
        <v>160</v>
      </c>
      <c r="M2" s="15" t="s">
        <v>125</v>
      </c>
      <c r="N2" s="15" t="s">
        <v>161</v>
      </c>
      <c r="O2" s="49" t="s">
        <v>162</v>
      </c>
      <c r="P2" s="49" t="s">
        <v>163</v>
      </c>
      <c r="Q2" s="49" t="s">
        <v>164</v>
      </c>
      <c r="R2" s="51" t="s">
        <v>165</v>
      </c>
      <c r="S2" s="51" t="s">
        <v>166</v>
      </c>
      <c r="T2" s="61" t="s">
        <v>167</v>
      </c>
      <c r="U2" s="15" t="s">
        <v>168</v>
      </c>
      <c r="V2" s="15" t="s">
        <v>169</v>
      </c>
      <c r="W2" s="15" t="s">
        <v>170</v>
      </c>
    </row>
    <row r="3" spans="2:23" x14ac:dyDescent="0.2">
      <c r="B3" s="15" t="str">
        <f>IF('3. Setup &amp; Role Data'!G9="","",'3. Setup &amp; Role Data'!G9)</f>
        <v>Researcher</v>
      </c>
      <c r="C3" s="15" t="str">
        <f>IF('6. Role Evaluation'!H5="","No",'6. Role Evaluation'!H5)</f>
        <v>Yes</v>
      </c>
      <c r="D3" s="15" t="str">
        <f>IF(C3="Yes",B3,"")</f>
        <v>Researcher</v>
      </c>
      <c r="E3" s="15" t="str">
        <f t="array" aca="1" ref="E3" ca="1">IFERROR(INDEX(Include,SMALL((IF(LEN(Include),ROW(INDIRECT("1:"&amp;ROWS(Include))))),ROW(B1)),1),"")</f>
        <v>Researcher</v>
      </c>
      <c r="F3" s="15">
        <f ca="1">IF(E3="","",INDEX('3. Setup &amp; Role Data'!$G$9:$I$109,MATCH(E3,Role,0),2))</f>
        <v>80000</v>
      </c>
      <c r="G3" s="15">
        <f ca="1">IF(E3="","",INDEX('3. Setup &amp; Role Data'!$G$9:$I$109,MATCH(E3,Role,0),3))</f>
        <v>8.0000000000000016E-2</v>
      </c>
      <c r="H3" s="15" t="str">
        <f ca="1">IF(E3="","",INDEX('6. Role Evaluation'!$B$5:$G$104,MATCH(E3,Role,0),2))</f>
        <v>No</v>
      </c>
      <c r="I3" s="15">
        <f ca="1">IF(E3="","",INDEX('6. Role Evaluation'!$B$5:$G$104,MATCH(E3,Role,0),3))</f>
        <v>0</v>
      </c>
      <c r="J3" s="15" t="str">
        <f ca="1">IF(E3="","",INDEX('6. Role Evaluation'!$B$5:$G$104,MATCH(E3,Role,0),4))</f>
        <v>Supporting</v>
      </c>
      <c r="K3" s="15" t="str">
        <f ca="1">IF(E3="","",INDEX('6. Role Evaluation'!$B$5:$G$104,MATCH(E3,Role,0),6))</f>
        <v>No change</v>
      </c>
      <c r="L3" s="15">
        <f ca="1">IF(K3='Hidden-Menus'!$E$3,1,IF(K3='Hidden-Menus'!$E$5,-1,IF(K3='Hidden-Menus'!$E$4,0,"")))</f>
        <v>0</v>
      </c>
      <c r="M3" s="15" t="str">
        <f ca="1">IF(E3="","",INDEX('6. Role Evaluation'!$B$5:$G$104,MATCH(E3,Role,0),5))</f>
        <v>More plentiful</v>
      </c>
      <c r="N3" s="15">
        <f ca="1">IF(M3='Hidden-Menus'!$F$3,1,IF(M3='Hidden-Menus'!$F$5,-1,0))</f>
        <v>1</v>
      </c>
      <c r="O3" s="15">
        <f ca="1">IF('7. Demand &amp; Supply Forecast'!B10="","",F3+F3*'7. Demand &amp; Supply Forecast'!F10)</f>
        <v>81600</v>
      </c>
      <c r="P3" s="15">
        <f ca="1">IF('7. Demand &amp; Supply Forecast'!B10="","",O3+O3*'7. Demand &amp; Supply Forecast'!F10)</f>
        <v>83232</v>
      </c>
      <c r="Q3" s="15">
        <f ca="1">IF('7. Demand &amp; Supply Forecast'!B10="","",P3+P3*'7. Demand &amp; Supply Forecast'!F10)</f>
        <v>84896.639999999999</v>
      </c>
      <c r="R3" s="15">
        <f ca="1">IF($E3="","",MROUND(O3*'7. Demand &amp; Supply Forecast'!K10,1000))</f>
        <v>816000</v>
      </c>
      <c r="S3" s="15">
        <f ca="1">IF($E3="","",MROUND(P3*'7. Demand &amp; Supply Forecast'!L10,1000))</f>
        <v>999000</v>
      </c>
      <c r="T3" s="15">
        <f ca="1">IF($E3="","",MROUND(Q3*'7. Demand &amp; Supply Forecast'!M10,1000))</f>
        <v>1019000</v>
      </c>
      <c r="U3" s="15">
        <f ca="1">IF(E3="","",'7. Demand &amp; Supply Forecast'!Q10-'7. Demand &amp; Supply Forecast'!K10)</f>
        <v>-2</v>
      </c>
      <c r="V3" s="15">
        <f ca="1">IF(E3="","",'7. Demand &amp; Supply Forecast'!R10-'7. Demand &amp; Supply Forecast'!L10)</f>
        <v>-4.5</v>
      </c>
      <c r="W3" s="15">
        <f ca="1">IF(E3="","",'7. Demand &amp; Supply Forecast'!S10-'7. Demand &amp; Supply Forecast'!M10)</f>
        <v>-5</v>
      </c>
    </row>
    <row r="4" spans="2:23" x14ac:dyDescent="0.2">
      <c r="B4" s="15" t="str">
        <f>IF('3. Setup &amp; Role Data'!G10="","",'3. Setup &amp; Role Data'!G10)</f>
        <v>Sales Acquire</v>
      </c>
      <c r="C4" s="15" t="str">
        <f>IF('6. Role Evaluation'!H6="","No",'6. Role Evaluation'!H6)</f>
        <v>Yes</v>
      </c>
      <c r="D4" s="15" t="str">
        <f t="shared" ref="D4:D67" si="0">IF(C4="Yes",B4,"")</f>
        <v>Sales Acquire</v>
      </c>
      <c r="E4" s="15" t="str">
        <f t="array" aca="1" ref="E4" ca="1">IFERROR(INDEX(Include,SMALL((IF(LEN(Include),ROW(INDIRECT("1:"&amp;ROWS(Include))))),ROW(B2)),1),"")</f>
        <v>Sales Acquire</v>
      </c>
      <c r="F4" s="15">
        <f ca="1">IF(E4="","",INDEX('3. Setup &amp; Role Data'!$G$9:$I$109,MATCH(E4,Role,0),2))</f>
        <v>40000</v>
      </c>
      <c r="G4" s="15">
        <f ca="1">IF(E4="","",INDEX('3. Setup &amp; Role Data'!$G$9:$I$109,MATCH(E4,Role,0),3))</f>
        <v>0.11000000000000001</v>
      </c>
      <c r="H4" s="15" t="str">
        <f ca="1">IF(E4="","",INDEX('6. Role Evaluation'!$B$5:$G$104,MATCH(E4,Role,0),2))</f>
        <v>Yes</v>
      </c>
      <c r="I4" s="15" t="str">
        <f ca="1">IF(E4="","",INDEX('6. Role Evaluation'!$B$5:$G$104,MATCH(E4,Role,0),3))</f>
        <v>Social media monitoring</v>
      </c>
      <c r="J4" s="15" t="str">
        <f ca="1">IF(E4="","",INDEX('6. Role Evaluation'!$B$5:$G$104,MATCH(E4,Role,0),4))</f>
        <v>Core</v>
      </c>
      <c r="K4" s="15" t="str">
        <f ca="1">IF(E4="","",INDEX('6. Role Evaluation'!$B$5:$G$104,MATCH(E4,Role,0),6))</f>
        <v>Decrease</v>
      </c>
      <c r="L4" s="15">
        <f ca="1">IF(K4='Hidden-Menus'!$E$3,1,IF(K4='Hidden-Menus'!$E$5,-1,IF(K4='Hidden-Menus'!$E$4,0,"")))</f>
        <v>-1</v>
      </c>
      <c r="M4" s="15" t="str">
        <f ca="1">IF(E4="","",INDEX('6. Role Evaluation'!$B$5:$G$104,MATCH(E4,Role,0),5))</f>
        <v>No change</v>
      </c>
      <c r="N4" s="15">
        <f ca="1">IF(M4='Hidden-Menus'!$F$3,1,IF(M4='Hidden-Menus'!$F$5,-1,0))</f>
        <v>0</v>
      </c>
      <c r="O4" s="15">
        <f ca="1">IF('7. Demand &amp; Supply Forecast'!B11="","",F4+F4*'7. Demand &amp; Supply Forecast'!F11)</f>
        <v>40800</v>
      </c>
      <c r="P4" s="15">
        <f ca="1">IF('7. Demand &amp; Supply Forecast'!B11="","",O4+O4*'7. Demand &amp; Supply Forecast'!F11)</f>
        <v>41616</v>
      </c>
      <c r="Q4" s="15">
        <f ca="1">IF('7. Demand &amp; Supply Forecast'!B11="","",P4+P4*'7. Demand &amp; Supply Forecast'!F11)</f>
        <v>42448.32</v>
      </c>
      <c r="R4" s="15">
        <f ca="1">IF($E4="","",MROUND(O4*'7. Demand &amp; Supply Forecast'!K11,1000))</f>
        <v>449000</v>
      </c>
      <c r="S4" s="15">
        <f ca="1">IF($E4="","",MROUND(P4*'7. Demand &amp; Supply Forecast'!L11,1000))</f>
        <v>375000</v>
      </c>
      <c r="T4" s="15">
        <f ca="1">IF($E4="","",MROUND(Q4*'7. Demand &amp; Supply Forecast'!M11,1000))</f>
        <v>340000</v>
      </c>
      <c r="U4" s="15">
        <f ca="1">IF(E4="","",'7. Demand &amp; Supply Forecast'!Q11-'7. Demand &amp; Supply Forecast'!K11)</f>
        <v>-1.5</v>
      </c>
      <c r="V4" s="15">
        <f ca="1">IF(E4="","",'7. Demand &amp; Supply Forecast'!R11-'7. Demand &amp; Supply Forecast'!L11)</f>
        <v>-1.5</v>
      </c>
      <c r="W4" s="15">
        <f ca="1">IF(E4="","",'7. Demand &amp; Supply Forecast'!S11-'7. Demand &amp; Supply Forecast'!M11)</f>
        <v>-2</v>
      </c>
    </row>
    <row r="5" spans="2:23" x14ac:dyDescent="0.2">
      <c r="B5" s="15" t="str">
        <f>IF('3. Setup &amp; Role Data'!G11="","",'3. Setup &amp; Role Data'!G11)</f>
        <v>Account Manager</v>
      </c>
      <c r="C5" s="15" t="str">
        <f>IF('6. Role Evaluation'!H7="","No",'6. Role Evaluation'!H7)</f>
        <v>Yes</v>
      </c>
      <c r="D5" s="15" t="str">
        <f t="shared" si="0"/>
        <v>Account Manager</v>
      </c>
      <c r="E5" s="15" t="str">
        <f t="array" aca="1" ref="E5" ca="1">IFERROR(INDEX(Include,SMALL((IF(LEN(Include),ROW(INDIRECT("1:"&amp;ROWS(Include))))),ROW(B3)),1),"")</f>
        <v>Account Manager</v>
      </c>
      <c r="F5" s="15">
        <f ca="1">IF(E5="","",INDEX('3. Setup &amp; Role Data'!$G$9:$I$109,MATCH(E5,Role,0),2))</f>
        <v>60000</v>
      </c>
      <c r="G5" s="15">
        <f ca="1">IF(E5="","",INDEX('3. Setup &amp; Role Data'!$G$9:$I$109,MATCH(E5,Role,0),3))</f>
        <v>0.08</v>
      </c>
      <c r="H5" s="15" t="str">
        <f ca="1">IF(E5="","",INDEX('6. Role Evaluation'!$B$5:$G$104,MATCH(E5,Role,0),2))</f>
        <v>Yes</v>
      </c>
      <c r="I5" s="15" t="str">
        <f ca="1">IF(E5="","",INDEX('6. Role Evaluation'!$B$5:$G$104,MATCH(E5,Role,0),3))</f>
        <v>Salesforce</v>
      </c>
      <c r="J5" s="15" t="str">
        <f ca="1">IF(E5="","",INDEX('6. Role Evaluation'!$B$5:$G$104,MATCH(E5,Role,0),4))</f>
        <v>Critical</v>
      </c>
      <c r="K5" s="15" t="str">
        <f ca="1">IF(E5="","",INDEX('6. Role Evaluation'!$B$5:$G$104,MATCH(E5,Role,0),6))</f>
        <v>Decrease</v>
      </c>
      <c r="L5" s="15">
        <f ca="1">IF(K5='Hidden-Menus'!$E$3,1,IF(K5='Hidden-Menus'!$E$5,-1,IF(K5='Hidden-Menus'!$E$4,0,"")))</f>
        <v>-1</v>
      </c>
      <c r="M5" s="15" t="str">
        <f ca="1">IF(E5="","",INDEX('6. Role Evaluation'!$B$5:$G$104,MATCH(E5,Role,0),5))</f>
        <v>More scarce</v>
      </c>
      <c r="N5" s="15">
        <f ca="1">IF(M5='Hidden-Menus'!$F$3,1,IF(M5='Hidden-Menus'!$F$5,-1,0))</f>
        <v>-1</v>
      </c>
      <c r="O5" s="15">
        <f ca="1">IF('7. Demand &amp; Supply Forecast'!B12="","",F5+F5*'7. Demand &amp; Supply Forecast'!F12)</f>
        <v>61200</v>
      </c>
      <c r="P5" s="15">
        <f ca="1">IF('7. Demand &amp; Supply Forecast'!B12="","",O5+O5*'7. Demand &amp; Supply Forecast'!F12)</f>
        <v>62424</v>
      </c>
      <c r="Q5" s="15">
        <f ca="1">IF('7. Demand &amp; Supply Forecast'!B12="","",P5+P5*'7. Demand &amp; Supply Forecast'!F12)</f>
        <v>63672.480000000003</v>
      </c>
      <c r="R5" s="15">
        <f ca="1">IF($E5="","",MROUND(O5*'7. Demand &amp; Supply Forecast'!K12,1000))</f>
        <v>918000</v>
      </c>
      <c r="S5" s="15">
        <f ca="1">IF($E5="","",MROUND(P5*'7. Demand &amp; Supply Forecast'!L12,1000))</f>
        <v>999000</v>
      </c>
      <c r="T5" s="15">
        <f ca="1">IF($E5="","",MROUND(Q5*'7. Demand &amp; Supply Forecast'!M12,1000))</f>
        <v>1146000</v>
      </c>
      <c r="U5" s="15">
        <f ca="1">IF(E5="","",'7. Demand &amp; Supply Forecast'!Q12-'7. Demand &amp; Supply Forecast'!K12)</f>
        <v>-4</v>
      </c>
      <c r="V5" s="15">
        <f ca="1">IF(E5="","",'7. Demand &amp; Supply Forecast'!R12-'7. Demand &amp; Supply Forecast'!L12)</f>
        <v>-7</v>
      </c>
      <c r="W5" s="15">
        <f ca="1">IF(E5="","",'7. Demand &amp; Supply Forecast'!S12-'7. Demand &amp; Supply Forecast'!M12)</f>
        <v>-11</v>
      </c>
    </row>
    <row r="6" spans="2:23" x14ac:dyDescent="0.2">
      <c r="B6" s="15" t="str">
        <f>IF('3. Setup &amp; Role Data'!G12="","",'3. Setup &amp; Role Data'!G12)</f>
        <v>Designers</v>
      </c>
      <c r="C6" s="15" t="str">
        <f>IF('6. Role Evaluation'!H8="","No",'6. Role Evaluation'!H8)</f>
        <v>No</v>
      </c>
      <c r="D6" s="15" t="str">
        <f t="shared" si="0"/>
        <v/>
      </c>
      <c r="E6" s="15" t="str">
        <f t="array" aca="1" ref="E6" ca="1">IFERROR(INDEX(Include,SMALL((IF(LEN(Include),ROW(INDIRECT("1:"&amp;ROWS(Include))))),ROW(B4)),1),"")</f>
        <v>Marketers</v>
      </c>
      <c r="F6" s="15">
        <f ca="1">IF(E6="","",INDEX('3. Setup &amp; Role Data'!$G$9:$I$109,MATCH(E6,Role,0),2))</f>
        <v>80000</v>
      </c>
      <c r="G6" s="15">
        <f ca="1">IF(E6="","",INDEX('3. Setup &amp; Role Data'!$G$9:$I$109,MATCH(E6,Role,0),3))</f>
        <v>0.08</v>
      </c>
      <c r="H6" s="15" t="str">
        <f ca="1">IF(E6="","",INDEX('6. Role Evaluation'!$B$5:$G$104,MATCH(E6,Role,0),2))</f>
        <v>No</v>
      </c>
      <c r="I6" s="15">
        <f ca="1">IF(E6="","",INDEX('6. Role Evaluation'!$B$5:$G$104,MATCH(E6,Role,0),3))</f>
        <v>0</v>
      </c>
      <c r="J6" s="15" t="str">
        <f ca="1">IF(E6="","",INDEX('6. Role Evaluation'!$B$5:$G$104,MATCH(E6,Role,0),4))</f>
        <v>Core</v>
      </c>
      <c r="K6" s="15" t="str">
        <f ca="1">IF(E6="","",INDEX('6. Role Evaluation'!$B$5:$G$104,MATCH(E6,Role,0),6))</f>
        <v>Decrease</v>
      </c>
      <c r="L6" s="15">
        <f ca="1">IF(K6='Hidden-Menus'!$E$3,1,IF(K6='Hidden-Menus'!$E$5,-1,IF(K6='Hidden-Menus'!$E$4,0,"")))</f>
        <v>-1</v>
      </c>
      <c r="M6" s="15" t="str">
        <f ca="1">IF(E6="","",INDEX('6. Role Evaluation'!$B$5:$G$104,MATCH(E6,Role,0),5))</f>
        <v>No change</v>
      </c>
      <c r="N6" s="15">
        <f ca="1">IF(M6='Hidden-Menus'!$F$3,1,IF(M6='Hidden-Menus'!$F$5,-1,0))</f>
        <v>0</v>
      </c>
      <c r="O6" s="15">
        <f ca="1">IF('7. Demand &amp; Supply Forecast'!B13="","",F6+F6*'7. Demand &amp; Supply Forecast'!F13)</f>
        <v>81600</v>
      </c>
      <c r="P6" s="15">
        <f ca="1">IF('7. Demand &amp; Supply Forecast'!B13="","",O6+O6*'7. Demand &amp; Supply Forecast'!F13)</f>
        <v>83232</v>
      </c>
      <c r="Q6" s="15">
        <f ca="1">IF('7. Demand &amp; Supply Forecast'!B13="","",P6+P6*'7. Demand &amp; Supply Forecast'!F13)</f>
        <v>84896.639999999999</v>
      </c>
      <c r="R6" s="15">
        <f ca="1">IF($E6="","",MROUND(O6*'7. Demand &amp; Supply Forecast'!K13,1000))</f>
        <v>816000</v>
      </c>
      <c r="S6" s="15">
        <f ca="1">IF($E6="","",MROUND(P6*'7. Demand &amp; Supply Forecast'!L13,1000))</f>
        <v>832000</v>
      </c>
      <c r="T6" s="15">
        <f ca="1">IF($E6="","",MROUND(Q6*'7. Demand &amp; Supply Forecast'!M13,1000))</f>
        <v>764000</v>
      </c>
      <c r="U6" s="15">
        <f ca="1">IF(E6="","",'7. Demand &amp; Supply Forecast'!Q13-'7. Demand &amp; Supply Forecast'!K13)</f>
        <v>5</v>
      </c>
      <c r="V6" s="15">
        <f ca="1">IF(E6="","",'7. Demand &amp; Supply Forecast'!R13-'7. Demand &amp; Supply Forecast'!L13)</f>
        <v>5</v>
      </c>
      <c r="W6" s="15">
        <f ca="1">IF(E6="","",'7. Demand &amp; Supply Forecast'!S13-'7. Demand &amp; Supply Forecast'!M13)</f>
        <v>5</v>
      </c>
    </row>
    <row r="7" spans="2:23" x14ac:dyDescent="0.2">
      <c r="B7" s="15" t="str">
        <f>IF('3. Setup &amp; Role Data'!G13="","",'3. Setup &amp; Role Data'!G13)</f>
        <v>Marketers</v>
      </c>
      <c r="C7" s="15" t="str">
        <f>IF('6. Role Evaluation'!H9="","No",'6. Role Evaluation'!H9)</f>
        <v>Yes</v>
      </c>
      <c r="D7" s="15" t="str">
        <f t="shared" si="0"/>
        <v>Marketers</v>
      </c>
      <c r="E7" s="15" t="str">
        <f t="array" aca="1" ref="E7" ca="1">IFERROR(INDEX(Include,SMALL((IF(LEN(Include),ROW(INDIRECT("1:"&amp;ROWS(Include))))),ROW(B5)),1),"")</f>
        <v>Maintenance</v>
      </c>
      <c r="F7" s="15">
        <f ca="1">IF(E7="","",INDEX('3. Setup &amp; Role Data'!$G$9:$I$109,MATCH(E7,Role,0),2))</f>
        <v>150000</v>
      </c>
      <c r="G7" s="15">
        <f ca="1">IF(E7="","",INDEX('3. Setup &amp; Role Data'!$G$9:$I$109,MATCH(E7,Role,0),3))</f>
        <v>0.17</v>
      </c>
      <c r="H7" s="15" t="str">
        <f ca="1">IF(E7="","",INDEX('6. Role Evaluation'!$B$5:$G$104,MATCH(E7,Role,0),2))</f>
        <v>No</v>
      </c>
      <c r="I7" s="15">
        <f ca="1">IF(E7="","",INDEX('6. Role Evaluation'!$B$5:$G$104,MATCH(E7,Role,0),3))</f>
        <v>0</v>
      </c>
      <c r="J7" s="15" t="str">
        <f ca="1">IF(E7="","",INDEX('6. Role Evaluation'!$B$5:$G$104,MATCH(E7,Role,0),4))</f>
        <v>Critical</v>
      </c>
      <c r="K7" s="15" t="str">
        <f ca="1">IF(E7="","",INDEX('6. Role Evaluation'!$B$5:$G$104,MATCH(E7,Role,0),6))</f>
        <v>Increase</v>
      </c>
      <c r="L7" s="15">
        <f ca="1">IF(K7='Hidden-Menus'!$E$3,1,IF(K7='Hidden-Menus'!$E$5,-1,IF(K7='Hidden-Menus'!$E$4,0,"")))</f>
        <v>1</v>
      </c>
      <c r="M7" s="15" t="str">
        <f ca="1">IF(E7="","",INDEX('6. Role Evaluation'!$B$5:$G$104,MATCH(E7,Role,0),5))</f>
        <v>More scarce</v>
      </c>
      <c r="N7" s="15">
        <f ca="1">IF(M7='Hidden-Menus'!$F$3,1,IF(M7='Hidden-Menus'!$F$5,-1,0))</f>
        <v>-1</v>
      </c>
      <c r="O7" s="15">
        <f ca="1">IF('7. Demand &amp; Supply Forecast'!B14="","",F7+F7*'7. Demand &amp; Supply Forecast'!F14)</f>
        <v>153000</v>
      </c>
      <c r="P7" s="15">
        <f ca="1">IF('7. Demand &amp; Supply Forecast'!B14="","",O7+O7*'7. Demand &amp; Supply Forecast'!F14)</f>
        <v>156060</v>
      </c>
      <c r="Q7" s="15">
        <f ca="1">IF('7. Demand &amp; Supply Forecast'!B14="","",P7+P7*'7. Demand &amp; Supply Forecast'!F14)</f>
        <v>159181.20000000001</v>
      </c>
      <c r="R7" s="15">
        <f ca="1">IF($E7="","",MROUND(O7*'7. Demand &amp; Supply Forecast'!K14,1000))</f>
        <v>306000</v>
      </c>
      <c r="S7" s="15">
        <f ca="1">IF($E7="","",MROUND(P7*'7. Demand &amp; Supply Forecast'!L14,1000))</f>
        <v>780000</v>
      </c>
      <c r="T7" s="15">
        <f ca="1">IF($E7="","",MROUND(Q7*'7. Demand &amp; Supply Forecast'!M14,1000))</f>
        <v>1592000</v>
      </c>
      <c r="U7" s="15">
        <f ca="1">IF(E7="","",'7. Demand &amp; Supply Forecast'!Q14-'7. Demand &amp; Supply Forecast'!K14)</f>
        <v>-2</v>
      </c>
      <c r="V7" s="15">
        <f ca="1">IF(E7="","",'7. Demand &amp; Supply Forecast'!R14-'7. Demand &amp; Supply Forecast'!L14)</f>
        <v>-5</v>
      </c>
      <c r="W7" s="15">
        <f ca="1">IF(E7="","",'7. Demand &amp; Supply Forecast'!S14-'7. Demand &amp; Supply Forecast'!M14)</f>
        <v>-10</v>
      </c>
    </row>
    <row r="8" spans="2:23" x14ac:dyDescent="0.2">
      <c r="B8" s="15" t="str">
        <f>IF('3. Setup &amp; Role Data'!G14="","",'3. Setup &amp; Role Data'!G14)</f>
        <v>HR</v>
      </c>
      <c r="C8" s="15" t="str">
        <f>IF('6. Role Evaluation'!H10="","No",'6. Role Evaluation'!H10)</f>
        <v>No</v>
      </c>
      <c r="D8" s="15" t="str">
        <f t="shared" si="0"/>
        <v/>
      </c>
      <c r="E8" s="15" t="str">
        <f t="array" aca="1" ref="E8" ca="1">IFERROR(INDEX(Include,SMALL((IF(LEN(Include),ROW(INDIRECT("1:"&amp;ROWS(Include))))),ROW(B6)),1),"")</f>
        <v/>
      </c>
      <c r="F8" s="15" t="str">
        <f ca="1">IF(E8="","",INDEX('3. Setup &amp; Role Data'!$G$9:$I$109,MATCH(E8,Role,0),2))</f>
        <v/>
      </c>
      <c r="G8" s="15" t="str">
        <f ca="1">IF(E8="","",INDEX('3. Setup &amp; Role Data'!$G$9:$I$109,MATCH(E8,Role,0),3))</f>
        <v/>
      </c>
      <c r="H8" s="15" t="str">
        <f ca="1">IF(E8="","",INDEX('6. Role Evaluation'!$B$5:$G$104,MATCH(E8,Role,0),2))</f>
        <v/>
      </c>
      <c r="I8" s="15" t="str">
        <f ca="1">IF(E8="","",INDEX('6. Role Evaluation'!$B$5:$G$104,MATCH(E8,Role,0),3))</f>
        <v/>
      </c>
      <c r="J8" s="15" t="str">
        <f ca="1">IF(E8="","",INDEX('6. Role Evaluation'!$B$5:$G$104,MATCH(E8,Role,0),4))</f>
        <v/>
      </c>
      <c r="K8" s="15" t="str">
        <f ca="1">IF(E8="","",INDEX('6. Role Evaluation'!$B$5:$G$104,MATCH(E8,Role,0),6))</f>
        <v/>
      </c>
      <c r="L8" s="15" t="str">
        <f ca="1">IF(K8='Hidden-Menus'!$E$3,1,IF(K8='Hidden-Menus'!$E$5,-1,IF(K8='Hidden-Menus'!$E$4,0,"")))</f>
        <v/>
      </c>
      <c r="M8" s="15" t="str">
        <f ca="1">IF(E8="","",INDEX('6. Role Evaluation'!$B$5:$G$104,MATCH(E8,Role,0),5))</f>
        <v/>
      </c>
      <c r="N8" s="15">
        <f ca="1">IF(M8='Hidden-Menus'!$F$3,1,IF(M8='Hidden-Menus'!$F$5,-1,0))</f>
        <v>0</v>
      </c>
      <c r="O8" s="15" t="str">
        <f ca="1">IF('7. Demand &amp; Supply Forecast'!B15="","",F8+F8*'7. Demand &amp; Supply Forecast'!F15)</f>
        <v/>
      </c>
      <c r="P8" s="15" t="str">
        <f ca="1">IF('7. Demand &amp; Supply Forecast'!B15="","",O8+O8*'7. Demand &amp; Supply Forecast'!F15)</f>
        <v/>
      </c>
      <c r="Q8" s="15" t="str">
        <f ca="1">IF('7. Demand &amp; Supply Forecast'!B15="","",P8+P8*'7. Demand &amp; Supply Forecast'!F15)</f>
        <v/>
      </c>
      <c r="R8" s="15" t="str">
        <f ca="1">IF($E8="","",MROUND(O8*'7. Demand &amp; Supply Forecast'!K15,1000))</f>
        <v/>
      </c>
      <c r="S8" s="15" t="str">
        <f ca="1">IF($E8="","",MROUND(P8*'7. Demand &amp; Supply Forecast'!L15,1000))</f>
        <v/>
      </c>
      <c r="T8" s="15" t="str">
        <f ca="1">IF($E8="","",MROUND(Q8*'7. Demand &amp; Supply Forecast'!M15,1000))</f>
        <v/>
      </c>
      <c r="U8" s="15" t="str">
        <f ca="1">IF(E8="","",'7. Demand &amp; Supply Forecast'!Q15-'7. Demand &amp; Supply Forecast'!K15)</f>
        <v/>
      </c>
      <c r="V8" s="15" t="str">
        <f ca="1">IF(E8="","",'7. Demand &amp; Supply Forecast'!R15-'7. Demand &amp; Supply Forecast'!L15)</f>
        <v/>
      </c>
      <c r="W8" s="15" t="str">
        <f ca="1">IF(E8="","",'7. Demand &amp; Supply Forecast'!S15-'7. Demand &amp; Supply Forecast'!M15)</f>
        <v/>
      </c>
    </row>
    <row r="9" spans="2:23" x14ac:dyDescent="0.2">
      <c r="B9" s="15" t="str">
        <f>IF('3. Setup &amp; Role Data'!G15="","",'3. Setup &amp; Role Data'!G15)</f>
        <v>Maintenance</v>
      </c>
      <c r="C9" s="15" t="str">
        <f>IF('6. Role Evaluation'!H11="","No",'6. Role Evaluation'!H11)</f>
        <v>Yes</v>
      </c>
      <c r="D9" s="15" t="str">
        <f t="shared" si="0"/>
        <v>Maintenance</v>
      </c>
      <c r="E9" s="15" t="str">
        <f t="array" aca="1" ref="E9" ca="1">IFERROR(INDEX(Include,SMALL((IF(LEN(Include),ROW(INDIRECT("1:"&amp;ROWS(Include))))),ROW(B7)),1),"")</f>
        <v/>
      </c>
      <c r="F9" s="15" t="str">
        <f ca="1">IF(E9="","",INDEX('3. Setup &amp; Role Data'!$G$9:$I$109,MATCH(E9,Role,0),2))</f>
        <v/>
      </c>
      <c r="G9" s="15" t="str">
        <f ca="1">IF(E9="","",INDEX('3. Setup &amp; Role Data'!$G$9:$I$109,MATCH(E9,Role,0),3))</f>
        <v/>
      </c>
      <c r="H9" s="15" t="str">
        <f ca="1">IF(E9="","",INDEX('6. Role Evaluation'!$B$5:$G$104,MATCH(E9,Role,0),2))</f>
        <v/>
      </c>
      <c r="I9" s="15" t="str">
        <f ca="1">IF(E9="","",INDEX('6. Role Evaluation'!$B$5:$G$104,MATCH(E9,Role,0),3))</f>
        <v/>
      </c>
      <c r="J9" s="15" t="str">
        <f ca="1">IF(E9="","",INDEX('6. Role Evaluation'!$B$5:$G$104,MATCH(E9,Role,0),4))</f>
        <v/>
      </c>
      <c r="K9" s="15" t="str">
        <f ca="1">IF(E9="","",INDEX('6. Role Evaluation'!$B$5:$G$104,MATCH(E9,Role,0),6))</f>
        <v/>
      </c>
      <c r="L9" s="15" t="str">
        <f ca="1">IF(K9='Hidden-Menus'!$E$3,1,IF(K9='Hidden-Menus'!$E$5,-1,IF(K9='Hidden-Menus'!$E$4,0,"")))</f>
        <v/>
      </c>
      <c r="M9" s="15" t="str">
        <f ca="1">IF(E9="","",INDEX('6. Role Evaluation'!$B$5:$G$104,MATCH(E9,Role,0),5))</f>
        <v/>
      </c>
      <c r="N9" s="15">
        <f ca="1">IF(M9='Hidden-Menus'!$F$3,1,IF(M9='Hidden-Menus'!$F$5,-1,0))</f>
        <v>0</v>
      </c>
      <c r="O9" s="15" t="str">
        <f ca="1">IF('7. Demand &amp; Supply Forecast'!B16="","",F9+F9*'7. Demand &amp; Supply Forecast'!F16)</f>
        <v/>
      </c>
      <c r="P9" s="15" t="str">
        <f ca="1">IF('7. Demand &amp; Supply Forecast'!B16="","",O9+O9*'7. Demand &amp; Supply Forecast'!F16)</f>
        <v/>
      </c>
      <c r="Q9" s="15" t="str">
        <f ca="1">IF('7. Demand &amp; Supply Forecast'!B16="","",P9+P9*'7. Demand &amp; Supply Forecast'!F16)</f>
        <v/>
      </c>
      <c r="R9" s="15" t="str">
        <f ca="1">IF($E9="","",MROUND(O9*'7. Demand &amp; Supply Forecast'!K16,1000))</f>
        <v/>
      </c>
      <c r="S9" s="15" t="str">
        <f ca="1">IF($E9="","",MROUND(P9*'7. Demand &amp; Supply Forecast'!L16,1000))</f>
        <v/>
      </c>
      <c r="T9" s="15" t="str">
        <f ca="1">IF($E9="","",MROUND(Q9*'7. Demand &amp; Supply Forecast'!M16,1000))</f>
        <v/>
      </c>
      <c r="U9" s="15" t="str">
        <f ca="1">IF(E9="","",'7. Demand &amp; Supply Forecast'!Q16-'7. Demand &amp; Supply Forecast'!K16)</f>
        <v/>
      </c>
      <c r="V9" s="15" t="str">
        <f ca="1">IF(E9="","",'7. Demand &amp; Supply Forecast'!R16-'7. Demand &amp; Supply Forecast'!L16)</f>
        <v/>
      </c>
      <c r="W9" s="15" t="str">
        <f ca="1">IF(E9="","",'7. Demand &amp; Supply Forecast'!S16-'7. Demand &amp; Supply Forecast'!M16)</f>
        <v/>
      </c>
    </row>
    <row r="10" spans="2:23" x14ac:dyDescent="0.2">
      <c r="B10" s="15" t="str">
        <f>IF('3. Setup &amp; Role Data'!G16="","",'3. Setup &amp; Role Data'!G16)</f>
        <v>Engineer</v>
      </c>
      <c r="C10" s="15" t="str">
        <f>IF('6. Role Evaluation'!H12="","No",'6. Role Evaluation'!H12)</f>
        <v>No</v>
      </c>
      <c r="D10" s="15" t="str">
        <f t="shared" si="0"/>
        <v/>
      </c>
      <c r="E10" s="15" t="str">
        <f t="array" aca="1" ref="E10" ca="1">IFERROR(INDEX(Include,SMALL((IF(LEN(Include),ROW(INDIRECT("1:"&amp;ROWS(Include))))),ROW(B8)),1),"")</f>
        <v/>
      </c>
      <c r="F10" s="15" t="str">
        <f ca="1">IF(E10="","",INDEX('3. Setup &amp; Role Data'!$G$9:$I$109,MATCH(E10,Role,0),2))</f>
        <v/>
      </c>
      <c r="G10" s="15" t="str">
        <f ca="1">IF(E10="","",INDEX('3. Setup &amp; Role Data'!$G$9:$I$109,MATCH(E10,Role,0),3))</f>
        <v/>
      </c>
      <c r="H10" s="15" t="str">
        <f ca="1">IF(E10="","",INDEX('6. Role Evaluation'!$B$5:$G$104,MATCH(E10,Role,0),2))</f>
        <v/>
      </c>
      <c r="I10" s="15" t="str">
        <f ca="1">IF(E10="","",INDEX('6. Role Evaluation'!$B$5:$G$104,MATCH(E10,Role,0),3))</f>
        <v/>
      </c>
      <c r="J10" s="15" t="str">
        <f ca="1">IF(E10="","",INDEX('6. Role Evaluation'!$B$5:$G$104,MATCH(E10,Role,0),4))</f>
        <v/>
      </c>
      <c r="K10" s="15" t="str">
        <f ca="1">IF(E10="","",INDEX('6. Role Evaluation'!$B$5:$G$104,MATCH(E10,Role,0),6))</f>
        <v/>
      </c>
      <c r="L10" s="15" t="str">
        <f ca="1">IF(K10='Hidden-Menus'!$E$3,1,IF(K10='Hidden-Menus'!$E$5,-1,IF(K10='Hidden-Menus'!$E$4,0,"")))</f>
        <v/>
      </c>
      <c r="M10" s="15" t="str">
        <f ca="1">IF(E10="","",INDEX('6. Role Evaluation'!$B$5:$G$104,MATCH(E10,Role,0),5))</f>
        <v/>
      </c>
      <c r="N10" s="15">
        <f ca="1">IF(M10='Hidden-Menus'!$F$3,1,IF(M10='Hidden-Menus'!$F$5,-1,0))</f>
        <v>0</v>
      </c>
      <c r="O10" s="15" t="str">
        <f ca="1">IF('7. Demand &amp; Supply Forecast'!B17="","",F10+F10*'7. Demand &amp; Supply Forecast'!F17)</f>
        <v/>
      </c>
      <c r="P10" s="15" t="str">
        <f ca="1">IF('7. Demand &amp; Supply Forecast'!B17="","",O10+O10*'7. Demand &amp; Supply Forecast'!F17)</f>
        <v/>
      </c>
      <c r="Q10" s="15" t="str">
        <f ca="1">IF('7. Demand &amp; Supply Forecast'!B17="","",P10+P10*'7. Demand &amp; Supply Forecast'!F17)</f>
        <v/>
      </c>
      <c r="R10" s="15" t="str">
        <f ca="1">IF($E10="","",MROUND(O10*'7. Demand &amp; Supply Forecast'!K17,1000))</f>
        <v/>
      </c>
      <c r="S10" s="15" t="str">
        <f ca="1">IF($E10="","",MROUND(P10*'7. Demand &amp; Supply Forecast'!L17,1000))</f>
        <v/>
      </c>
      <c r="T10" s="15" t="str">
        <f ca="1">IF($E10="","",MROUND(Q10*'7. Demand &amp; Supply Forecast'!M17,1000))</f>
        <v/>
      </c>
      <c r="U10" s="15" t="str">
        <f ca="1">IF(E10="","",'7. Demand &amp; Supply Forecast'!Q17-'7. Demand &amp; Supply Forecast'!K17)</f>
        <v/>
      </c>
      <c r="V10" s="15" t="str">
        <f ca="1">IF(E10="","",'7. Demand &amp; Supply Forecast'!R17-'7. Demand &amp; Supply Forecast'!L17)</f>
        <v/>
      </c>
      <c r="W10" s="15" t="str">
        <f ca="1">IF(E10="","",'7. Demand &amp; Supply Forecast'!S17-'7. Demand &amp; Supply Forecast'!M17)</f>
        <v/>
      </c>
    </row>
    <row r="11" spans="2:23" x14ac:dyDescent="0.2">
      <c r="B11" s="15" t="str">
        <f>IF('3. Setup &amp; Role Data'!G17="","",'3. Setup &amp; Role Data'!G17)</f>
        <v/>
      </c>
      <c r="C11" s="15" t="str">
        <f>IF('6. Role Evaluation'!H13="","No",'6. Role Evaluation'!H13)</f>
        <v>No</v>
      </c>
      <c r="D11" s="15" t="str">
        <f t="shared" si="0"/>
        <v/>
      </c>
      <c r="E11" s="15" t="str">
        <f t="array" aca="1" ref="E11" ca="1">IFERROR(INDEX(Include,SMALL((IF(LEN(Include),ROW(INDIRECT("1:"&amp;ROWS(Include))))),ROW(B9)),1),"")</f>
        <v/>
      </c>
      <c r="F11" s="15" t="str">
        <f ca="1">IF(E11="","",INDEX('3. Setup &amp; Role Data'!$G$9:$I$109,MATCH(E11,Role,0),2))</f>
        <v/>
      </c>
      <c r="G11" s="15" t="str">
        <f ca="1">IF(E11="","",INDEX('3. Setup &amp; Role Data'!$G$9:$I$109,MATCH(E11,Role,0),3))</f>
        <v/>
      </c>
      <c r="H11" s="15" t="str">
        <f ca="1">IF(E11="","",INDEX('6. Role Evaluation'!$B$5:$G$104,MATCH(E11,Role,0),2))</f>
        <v/>
      </c>
      <c r="I11" s="15" t="str">
        <f ca="1">IF(E11="","",INDEX('6. Role Evaluation'!$B$5:$G$104,MATCH(E11,Role,0),3))</f>
        <v/>
      </c>
      <c r="J11" s="15" t="str">
        <f ca="1">IF(E11="","",INDEX('6. Role Evaluation'!$B$5:$G$104,MATCH(E11,Role,0),4))</f>
        <v/>
      </c>
      <c r="K11" s="15" t="str">
        <f ca="1">IF(E11="","",INDEX('6. Role Evaluation'!$B$5:$G$104,MATCH(E11,Role,0),6))</f>
        <v/>
      </c>
      <c r="L11" s="15" t="str">
        <f ca="1">IF(K11='Hidden-Menus'!$E$3,1,IF(K11='Hidden-Menus'!$E$5,-1,IF(K11='Hidden-Menus'!$E$4,0,"")))</f>
        <v/>
      </c>
      <c r="M11" s="15" t="str">
        <f ca="1">IF(E11="","",INDEX('6. Role Evaluation'!$B$5:$G$104,MATCH(E11,Role,0),5))</f>
        <v/>
      </c>
      <c r="N11" s="15">
        <f ca="1">IF(M11='Hidden-Menus'!$F$3,1,IF(M11='Hidden-Menus'!$F$5,-1,0))</f>
        <v>0</v>
      </c>
      <c r="O11" s="15" t="str">
        <f ca="1">IF('7. Demand &amp; Supply Forecast'!B18="","",F11+F11*'7. Demand &amp; Supply Forecast'!F18)</f>
        <v/>
      </c>
      <c r="P11" s="15" t="str">
        <f ca="1">IF('7. Demand &amp; Supply Forecast'!B18="","",O11+O11*'7. Demand &amp; Supply Forecast'!F18)</f>
        <v/>
      </c>
      <c r="Q11" s="15" t="str">
        <f ca="1">IF('7. Demand &amp; Supply Forecast'!B18="","",P11+P11*'7. Demand &amp; Supply Forecast'!F18)</f>
        <v/>
      </c>
      <c r="R11" s="15" t="str">
        <f ca="1">IF($E11="","",MROUND(O11*'7. Demand &amp; Supply Forecast'!K18,1000))</f>
        <v/>
      </c>
      <c r="S11" s="15" t="str">
        <f ca="1">IF($E11="","",MROUND(P11*'7. Demand &amp; Supply Forecast'!L18,1000))</f>
        <v/>
      </c>
      <c r="T11" s="15" t="str">
        <f ca="1">IF($E11="","",MROUND(Q11*'7. Demand &amp; Supply Forecast'!M18,1000))</f>
        <v/>
      </c>
      <c r="U11" s="15" t="str">
        <f ca="1">IF(E11="","",'7. Demand &amp; Supply Forecast'!Q18-'7. Demand &amp; Supply Forecast'!K18)</f>
        <v/>
      </c>
      <c r="V11" s="15" t="str">
        <f ca="1">IF(E11="","",'7. Demand &amp; Supply Forecast'!R18-'7. Demand &amp; Supply Forecast'!L18)</f>
        <v/>
      </c>
      <c r="W11" s="15" t="str">
        <f ca="1">IF(E11="","",'7. Demand &amp; Supply Forecast'!S18-'7. Demand &amp; Supply Forecast'!M18)</f>
        <v/>
      </c>
    </row>
    <row r="12" spans="2:23" x14ac:dyDescent="0.2">
      <c r="B12" s="15" t="str">
        <f>IF('3. Setup &amp; Role Data'!G18="","",'3. Setup &amp; Role Data'!G18)</f>
        <v/>
      </c>
      <c r="C12" s="15" t="str">
        <f>IF('6. Role Evaluation'!H14="","No",'6. Role Evaluation'!H14)</f>
        <v>No</v>
      </c>
      <c r="D12" s="15" t="str">
        <f t="shared" si="0"/>
        <v/>
      </c>
      <c r="E12" s="15" t="str">
        <f t="array" aca="1" ref="E12" ca="1">IFERROR(INDEX(Include,SMALL((IF(LEN(Include),ROW(INDIRECT("1:"&amp;ROWS(Include))))),ROW(B10)),1),"")</f>
        <v/>
      </c>
      <c r="F12" s="15" t="str">
        <f ca="1">IF(E12="","",INDEX('3. Setup &amp; Role Data'!$G$9:$I$109,MATCH(E12,Role,0),2))</f>
        <v/>
      </c>
      <c r="G12" s="15" t="str">
        <f ca="1">IF(E12="","",INDEX('3. Setup &amp; Role Data'!$G$9:$I$109,MATCH(E12,Role,0),3))</f>
        <v/>
      </c>
      <c r="H12" s="15" t="str">
        <f ca="1">IF(E12="","",INDEX('6. Role Evaluation'!$B$5:$G$104,MATCH(E12,Role,0),2))</f>
        <v/>
      </c>
      <c r="I12" s="15" t="str">
        <f ca="1">IF(E12="","",INDEX('6. Role Evaluation'!$B$5:$G$104,MATCH(E12,Role,0),3))</f>
        <v/>
      </c>
      <c r="J12" s="15" t="str">
        <f ca="1">IF(E12="","",INDEX('6. Role Evaluation'!$B$5:$G$104,MATCH(E12,Role,0),4))</f>
        <v/>
      </c>
      <c r="K12" s="15" t="str">
        <f ca="1">IF(E12="","",INDEX('6. Role Evaluation'!$B$5:$G$104,MATCH(E12,Role,0),6))</f>
        <v/>
      </c>
      <c r="L12" s="15" t="str">
        <f ca="1">IF(K12='Hidden-Menus'!$E$3,1,IF(K12='Hidden-Menus'!$E$5,-1,IF(K12='Hidden-Menus'!$E$4,0,"")))</f>
        <v/>
      </c>
      <c r="M12" s="15" t="str">
        <f ca="1">IF(E12="","",INDEX('6. Role Evaluation'!$B$5:$G$104,MATCH(E12,Role,0),5))</f>
        <v/>
      </c>
      <c r="N12" s="15">
        <f ca="1">IF(M12='Hidden-Menus'!$F$3,1,IF(M12='Hidden-Menus'!$F$5,-1,0))</f>
        <v>0</v>
      </c>
      <c r="O12" s="15" t="str">
        <f ca="1">IF('7. Demand &amp; Supply Forecast'!B19="","",F12+F12*'7. Demand &amp; Supply Forecast'!F19)</f>
        <v/>
      </c>
      <c r="P12" s="15" t="str">
        <f ca="1">IF('7. Demand &amp; Supply Forecast'!B19="","",O12+O12*'7. Demand &amp; Supply Forecast'!F19)</f>
        <v/>
      </c>
      <c r="Q12" s="15" t="str">
        <f ca="1">IF('7. Demand &amp; Supply Forecast'!B19="","",P12+P12*'7. Demand &amp; Supply Forecast'!F19)</f>
        <v/>
      </c>
      <c r="R12" s="15" t="str">
        <f ca="1">IF($E12="","",MROUND(O12*'7. Demand &amp; Supply Forecast'!K19,1000))</f>
        <v/>
      </c>
      <c r="S12" s="15" t="str">
        <f ca="1">IF($E12="","",MROUND(P12*'7. Demand &amp; Supply Forecast'!L19,1000))</f>
        <v/>
      </c>
      <c r="T12" s="15" t="str">
        <f ca="1">IF($E12="","",MROUND(Q12*'7. Demand &amp; Supply Forecast'!M19,1000))</f>
        <v/>
      </c>
      <c r="U12" s="15" t="str">
        <f ca="1">IF(E12="","",'7. Demand &amp; Supply Forecast'!Q19-'7. Demand &amp; Supply Forecast'!K19)</f>
        <v/>
      </c>
      <c r="V12" s="15" t="str">
        <f ca="1">IF(E12="","",'7. Demand &amp; Supply Forecast'!R19-'7. Demand &amp; Supply Forecast'!L19)</f>
        <v/>
      </c>
      <c r="W12" s="15" t="str">
        <f ca="1">IF(E12="","",'7. Demand &amp; Supply Forecast'!S19-'7. Demand &amp; Supply Forecast'!M19)</f>
        <v/>
      </c>
    </row>
    <row r="13" spans="2:23" x14ac:dyDescent="0.2">
      <c r="B13" s="15" t="str">
        <f>IF('3. Setup &amp; Role Data'!G19="","",'3. Setup &amp; Role Data'!G19)</f>
        <v/>
      </c>
      <c r="C13" s="15" t="str">
        <f>IF('6. Role Evaluation'!H15="","No",'6. Role Evaluation'!H15)</f>
        <v>No</v>
      </c>
      <c r="D13" s="15" t="str">
        <f t="shared" si="0"/>
        <v/>
      </c>
      <c r="E13" s="15" t="str">
        <f t="array" aca="1" ref="E13" ca="1">IFERROR(INDEX(Include,SMALL((IF(LEN(Include),ROW(INDIRECT("1:"&amp;ROWS(Include))))),ROW(B11)),1),"")</f>
        <v/>
      </c>
      <c r="F13" s="15" t="str">
        <f ca="1">IF(E13="","",INDEX('3. Setup &amp; Role Data'!$G$9:$I$109,MATCH(E13,Role,0),2))</f>
        <v/>
      </c>
      <c r="G13" s="15" t="str">
        <f ca="1">IF(E13="","",INDEX('3. Setup &amp; Role Data'!$G$9:$I$109,MATCH(E13,Role,0),3))</f>
        <v/>
      </c>
      <c r="H13" s="15" t="str">
        <f ca="1">IF(E13="","",INDEX('6. Role Evaluation'!$B$5:$G$104,MATCH(E13,Role,0),2))</f>
        <v/>
      </c>
      <c r="I13" s="15" t="str">
        <f ca="1">IF(E13="","",INDEX('6. Role Evaluation'!$B$5:$G$104,MATCH(E13,Role,0),3))</f>
        <v/>
      </c>
      <c r="J13" s="15" t="str">
        <f ca="1">IF(E13="","",INDEX('6. Role Evaluation'!$B$5:$G$104,MATCH(E13,Role,0),4))</f>
        <v/>
      </c>
      <c r="K13" s="15" t="str">
        <f ca="1">IF(E13="","",INDEX('6. Role Evaluation'!$B$5:$G$104,MATCH(E13,Role,0),6))</f>
        <v/>
      </c>
      <c r="L13" s="15" t="str">
        <f ca="1">IF(K13='Hidden-Menus'!$E$3,1,IF(K13='Hidden-Menus'!$E$5,-1,IF(K13='Hidden-Menus'!$E$4,0,"")))</f>
        <v/>
      </c>
      <c r="M13" s="15" t="str">
        <f ca="1">IF(E13="","",INDEX('6. Role Evaluation'!$B$5:$G$104,MATCH(E13,Role,0),5))</f>
        <v/>
      </c>
      <c r="N13" s="15">
        <f ca="1">IF(M13='Hidden-Menus'!$F$3,1,IF(M13='Hidden-Menus'!$F$5,-1,0))</f>
        <v>0</v>
      </c>
      <c r="O13" s="15" t="str">
        <f ca="1">IF('7. Demand &amp; Supply Forecast'!B20="","",F13+F13*'7. Demand &amp; Supply Forecast'!F20)</f>
        <v/>
      </c>
      <c r="P13" s="15" t="str">
        <f ca="1">IF('7. Demand &amp; Supply Forecast'!B20="","",O13+O13*'7. Demand &amp; Supply Forecast'!F20)</f>
        <v/>
      </c>
      <c r="Q13" s="15" t="str">
        <f ca="1">IF('7. Demand &amp; Supply Forecast'!B20="","",P13+P13*'7. Demand &amp; Supply Forecast'!F20)</f>
        <v/>
      </c>
      <c r="R13" s="15" t="str">
        <f ca="1">IF($E13="","",MROUND(O13*'7. Demand &amp; Supply Forecast'!K20,1000))</f>
        <v/>
      </c>
      <c r="S13" s="15" t="str">
        <f ca="1">IF($E13="","",MROUND(P13*'7. Demand &amp; Supply Forecast'!L20,1000))</f>
        <v/>
      </c>
      <c r="T13" s="15" t="str">
        <f ca="1">IF($E13="","",MROUND(Q13*'7. Demand &amp; Supply Forecast'!M20,1000))</f>
        <v/>
      </c>
      <c r="U13" s="15" t="str">
        <f ca="1">IF(E13="","",'7. Demand &amp; Supply Forecast'!Q20-'7. Demand &amp; Supply Forecast'!K20)</f>
        <v/>
      </c>
      <c r="V13" s="15" t="str">
        <f ca="1">IF(E13="","",'7. Demand &amp; Supply Forecast'!R20-'7. Demand &amp; Supply Forecast'!L20)</f>
        <v/>
      </c>
      <c r="W13" s="15" t="str">
        <f ca="1">IF(E13="","",'7. Demand &amp; Supply Forecast'!S20-'7. Demand &amp; Supply Forecast'!M20)</f>
        <v/>
      </c>
    </row>
    <row r="14" spans="2:23" x14ac:dyDescent="0.2">
      <c r="B14" s="15" t="str">
        <f>IF('3. Setup &amp; Role Data'!G20="","",'3. Setup &amp; Role Data'!G20)</f>
        <v/>
      </c>
      <c r="C14" s="15" t="str">
        <f>IF('6. Role Evaluation'!H16="","No",'6. Role Evaluation'!H16)</f>
        <v>No</v>
      </c>
      <c r="D14" s="15" t="str">
        <f t="shared" si="0"/>
        <v/>
      </c>
      <c r="E14" s="15" t="str">
        <f t="array" aca="1" ref="E14" ca="1">IFERROR(INDEX(Include,SMALL((IF(LEN(Include),ROW(INDIRECT("1:"&amp;ROWS(Include))))),ROW(B12)),1),"")</f>
        <v/>
      </c>
      <c r="F14" s="15" t="str">
        <f ca="1">IF(E14="","",INDEX('3. Setup &amp; Role Data'!$G$9:$I$109,MATCH(E14,Role,0),2))</f>
        <v/>
      </c>
      <c r="G14" s="15" t="str">
        <f ca="1">IF(E14="","",INDEX('3. Setup &amp; Role Data'!$G$9:$I$109,MATCH(E14,Role,0),3))</f>
        <v/>
      </c>
      <c r="H14" s="15" t="str">
        <f ca="1">IF(E14="","",INDEX('6. Role Evaluation'!$B$5:$G$104,MATCH(E14,Role,0),2))</f>
        <v/>
      </c>
      <c r="I14" s="15" t="str">
        <f ca="1">IF(E14="","",INDEX('6. Role Evaluation'!$B$5:$G$104,MATCH(E14,Role,0),3))</f>
        <v/>
      </c>
      <c r="J14" s="15" t="str">
        <f ca="1">IF(E14="","",INDEX('6. Role Evaluation'!$B$5:$G$104,MATCH(E14,Role,0),4))</f>
        <v/>
      </c>
      <c r="K14" s="15" t="str">
        <f ca="1">IF(E14="","",INDEX('6. Role Evaluation'!$B$5:$G$104,MATCH(E14,Role,0),6))</f>
        <v/>
      </c>
      <c r="L14" s="15" t="str">
        <f ca="1">IF(K14='Hidden-Menus'!$E$3,1,IF(K14='Hidden-Menus'!$E$5,-1,IF(K14='Hidden-Menus'!$E$4,0,"")))</f>
        <v/>
      </c>
      <c r="M14" s="15" t="str">
        <f ca="1">IF(E14="","",INDEX('6. Role Evaluation'!$B$5:$G$104,MATCH(E14,Role,0),5))</f>
        <v/>
      </c>
      <c r="N14" s="15">
        <f ca="1">IF(M14='Hidden-Menus'!$F$3,1,IF(M14='Hidden-Menus'!$F$5,-1,0))</f>
        <v>0</v>
      </c>
      <c r="O14" s="15" t="str">
        <f ca="1">IF('7. Demand &amp; Supply Forecast'!B21="","",F14+F14*'7. Demand &amp; Supply Forecast'!F21)</f>
        <v/>
      </c>
      <c r="P14" s="15" t="str">
        <f ca="1">IF('7. Demand &amp; Supply Forecast'!B21="","",O14+O14*'7. Demand &amp; Supply Forecast'!F21)</f>
        <v/>
      </c>
      <c r="Q14" s="15" t="str">
        <f ca="1">IF('7. Demand &amp; Supply Forecast'!B21="","",P14+P14*'7. Demand &amp; Supply Forecast'!F21)</f>
        <v/>
      </c>
      <c r="R14" s="15" t="str">
        <f ca="1">IF($E14="","",MROUND(O14*'7. Demand &amp; Supply Forecast'!K21,1000))</f>
        <v/>
      </c>
      <c r="S14" s="15" t="str">
        <f ca="1">IF($E14="","",MROUND(P14*'7. Demand &amp; Supply Forecast'!L21,1000))</f>
        <v/>
      </c>
      <c r="T14" s="15" t="str">
        <f ca="1">IF($E14="","",MROUND(Q14*'7. Demand &amp; Supply Forecast'!M21,1000))</f>
        <v/>
      </c>
      <c r="U14" s="15" t="str">
        <f ca="1">IF(E14="","",'7. Demand &amp; Supply Forecast'!Q21-'7. Demand &amp; Supply Forecast'!K21)</f>
        <v/>
      </c>
      <c r="V14" s="15" t="str">
        <f ca="1">IF(E14="","",'7. Demand &amp; Supply Forecast'!R21-'7. Demand &amp; Supply Forecast'!L21)</f>
        <v/>
      </c>
      <c r="W14" s="15" t="str">
        <f ca="1">IF(E14="","",'7. Demand &amp; Supply Forecast'!S21-'7. Demand &amp; Supply Forecast'!M21)</f>
        <v/>
      </c>
    </row>
    <row r="15" spans="2:23" x14ac:dyDescent="0.2">
      <c r="B15" s="15" t="str">
        <f>IF('3. Setup &amp; Role Data'!G21="","",'3. Setup &amp; Role Data'!G21)</f>
        <v/>
      </c>
      <c r="C15" s="15" t="str">
        <f>IF('6. Role Evaluation'!H17="","No",'6. Role Evaluation'!H17)</f>
        <v>No</v>
      </c>
      <c r="D15" s="15" t="str">
        <f t="shared" si="0"/>
        <v/>
      </c>
      <c r="E15" s="15" t="str">
        <f t="array" aca="1" ref="E15" ca="1">IFERROR(INDEX(Include,SMALL((IF(LEN(Include),ROW(INDIRECT("1:"&amp;ROWS(Include))))),ROW(B13)),1),"")</f>
        <v/>
      </c>
      <c r="F15" s="15" t="str">
        <f ca="1">IF(E15="","",INDEX('3. Setup &amp; Role Data'!$G$9:$I$109,MATCH(E15,Role,0),2))</f>
        <v/>
      </c>
      <c r="G15" s="15" t="str">
        <f ca="1">IF(E15="","",INDEX('3. Setup &amp; Role Data'!$G$9:$I$109,MATCH(E15,Role,0),3))</f>
        <v/>
      </c>
      <c r="H15" s="15" t="str">
        <f ca="1">IF(E15="","",INDEX('6. Role Evaluation'!$B$5:$G$104,MATCH(E15,Role,0),2))</f>
        <v/>
      </c>
      <c r="I15" s="15" t="str">
        <f ca="1">IF(E15="","",INDEX('6. Role Evaluation'!$B$5:$G$104,MATCH(E15,Role,0),3))</f>
        <v/>
      </c>
      <c r="J15" s="15" t="str">
        <f ca="1">IF(E15="","",INDEX('6. Role Evaluation'!$B$5:$G$104,MATCH(E15,Role,0),4))</f>
        <v/>
      </c>
      <c r="K15" s="15" t="str">
        <f ca="1">IF(E15="","",INDEX('6. Role Evaluation'!$B$5:$G$104,MATCH(E15,Role,0),6))</f>
        <v/>
      </c>
      <c r="L15" s="15" t="str">
        <f ca="1">IF(K15='Hidden-Menus'!$E$3,1,IF(K15='Hidden-Menus'!$E$5,-1,IF(K15='Hidden-Menus'!$E$4,0,"")))</f>
        <v/>
      </c>
      <c r="M15" s="15" t="str">
        <f ca="1">IF(E15="","",INDEX('6. Role Evaluation'!$B$5:$G$104,MATCH(E15,Role,0),5))</f>
        <v/>
      </c>
      <c r="N15" s="15">
        <f ca="1">IF(M15='Hidden-Menus'!$F$3,1,IF(M15='Hidden-Menus'!$F$5,-1,0))</f>
        <v>0</v>
      </c>
      <c r="O15" s="15" t="str">
        <f ca="1">IF('7. Demand &amp; Supply Forecast'!B22="","",F15+F15*'7. Demand &amp; Supply Forecast'!F22)</f>
        <v/>
      </c>
      <c r="P15" s="15" t="str">
        <f ca="1">IF('7. Demand &amp; Supply Forecast'!B22="","",O15+O15*'7. Demand &amp; Supply Forecast'!F22)</f>
        <v/>
      </c>
      <c r="Q15" s="15" t="str">
        <f ca="1">IF('7. Demand &amp; Supply Forecast'!B22="","",P15+P15*'7. Demand &amp; Supply Forecast'!F22)</f>
        <v/>
      </c>
      <c r="R15" s="15" t="str">
        <f ca="1">IF($E15="","",MROUND(O15*'7. Demand &amp; Supply Forecast'!K22,1000))</f>
        <v/>
      </c>
      <c r="S15" s="15" t="str">
        <f ca="1">IF($E15="","",MROUND(P15*'7. Demand &amp; Supply Forecast'!L22,1000))</f>
        <v/>
      </c>
      <c r="T15" s="15" t="str">
        <f ca="1">IF($E15="","",MROUND(Q15*'7. Demand &amp; Supply Forecast'!M22,1000))</f>
        <v/>
      </c>
      <c r="U15" s="15" t="str">
        <f ca="1">IF(E15="","",'7. Demand &amp; Supply Forecast'!Q22-'7. Demand &amp; Supply Forecast'!K22)</f>
        <v/>
      </c>
      <c r="V15" s="15" t="str">
        <f ca="1">IF(E15="","",'7. Demand &amp; Supply Forecast'!R22-'7. Demand &amp; Supply Forecast'!L22)</f>
        <v/>
      </c>
      <c r="W15" s="15" t="str">
        <f ca="1">IF(E15="","",'7. Demand &amp; Supply Forecast'!S22-'7. Demand &amp; Supply Forecast'!M22)</f>
        <v/>
      </c>
    </row>
    <row r="16" spans="2:23" x14ac:dyDescent="0.2">
      <c r="B16" s="15" t="str">
        <f>IF('3. Setup &amp; Role Data'!G22="","",'3. Setup &amp; Role Data'!G22)</f>
        <v/>
      </c>
      <c r="C16" s="15" t="str">
        <f>IF('6. Role Evaluation'!H18="","No",'6. Role Evaluation'!H18)</f>
        <v>No</v>
      </c>
      <c r="D16" s="15" t="str">
        <f t="shared" si="0"/>
        <v/>
      </c>
      <c r="E16" s="15" t="str">
        <f t="array" aca="1" ref="E16" ca="1">IFERROR(INDEX(Include,SMALL((IF(LEN(Include),ROW(INDIRECT("1:"&amp;ROWS(Include))))),ROW(B14)),1),"")</f>
        <v/>
      </c>
      <c r="F16" s="15" t="str">
        <f ca="1">IF(E16="","",INDEX('3. Setup &amp; Role Data'!$G$9:$I$109,MATCH(E16,Role,0),2))</f>
        <v/>
      </c>
      <c r="G16" s="15" t="str">
        <f ca="1">IF(E16="","",INDEX('3. Setup &amp; Role Data'!$G$9:$I$109,MATCH(E16,Role,0),3))</f>
        <v/>
      </c>
      <c r="H16" s="15" t="str">
        <f ca="1">IF(E16="","",INDEX('6. Role Evaluation'!$B$5:$G$104,MATCH(E16,Role,0),2))</f>
        <v/>
      </c>
      <c r="I16" s="15" t="str">
        <f ca="1">IF(E16="","",INDEX('6. Role Evaluation'!$B$5:$G$104,MATCH(E16,Role,0),3))</f>
        <v/>
      </c>
      <c r="J16" s="15" t="str">
        <f ca="1">IF(E16="","",INDEX('6. Role Evaluation'!$B$5:$G$104,MATCH(E16,Role,0),4))</f>
        <v/>
      </c>
      <c r="K16" s="15" t="str">
        <f ca="1">IF(E16="","",INDEX('6. Role Evaluation'!$B$5:$G$104,MATCH(E16,Role,0),6))</f>
        <v/>
      </c>
      <c r="L16" s="15" t="str">
        <f ca="1">IF(K16='Hidden-Menus'!$E$3,1,IF(K16='Hidden-Menus'!$E$5,-1,IF(K16='Hidden-Menus'!$E$4,0,"")))</f>
        <v/>
      </c>
      <c r="M16" s="15" t="str">
        <f ca="1">IF(E16="","",INDEX('6. Role Evaluation'!$B$5:$G$104,MATCH(E16,Role,0),5))</f>
        <v/>
      </c>
      <c r="N16" s="15">
        <f ca="1">IF(M16='Hidden-Menus'!$F$3,1,IF(M16='Hidden-Menus'!$F$5,-1,0))</f>
        <v>0</v>
      </c>
      <c r="O16" s="15" t="str">
        <f ca="1">IF('7. Demand &amp; Supply Forecast'!B23="","",F16+F16*'7. Demand &amp; Supply Forecast'!F23)</f>
        <v/>
      </c>
      <c r="P16" s="15" t="str">
        <f ca="1">IF('7. Demand &amp; Supply Forecast'!B23="","",O16+O16*'7. Demand &amp; Supply Forecast'!F23)</f>
        <v/>
      </c>
      <c r="Q16" s="15" t="str">
        <f ca="1">IF('7. Demand &amp; Supply Forecast'!B23="","",P16+P16*'7. Demand &amp; Supply Forecast'!F23)</f>
        <v/>
      </c>
      <c r="R16" s="15" t="str">
        <f ca="1">IF($E16="","",MROUND(O16*'7. Demand &amp; Supply Forecast'!K23,1000))</f>
        <v/>
      </c>
      <c r="S16" s="15" t="str">
        <f ca="1">IF($E16="","",MROUND(P16*'7. Demand &amp; Supply Forecast'!L23,1000))</f>
        <v/>
      </c>
      <c r="T16" s="15" t="str">
        <f ca="1">IF($E16="","",MROUND(Q16*'7. Demand &amp; Supply Forecast'!M23,1000))</f>
        <v/>
      </c>
      <c r="U16" s="15" t="str">
        <f ca="1">IF(E16="","",'7. Demand &amp; Supply Forecast'!Q23-'7. Demand &amp; Supply Forecast'!K23)</f>
        <v/>
      </c>
      <c r="V16" s="15" t="str">
        <f ca="1">IF(E16="","",'7. Demand &amp; Supply Forecast'!R23-'7. Demand &amp; Supply Forecast'!L23)</f>
        <v/>
      </c>
      <c r="W16" s="15" t="str">
        <f ca="1">IF(E16="","",'7. Demand &amp; Supply Forecast'!S23-'7. Demand &amp; Supply Forecast'!M23)</f>
        <v/>
      </c>
    </row>
    <row r="17" spans="2:23" x14ac:dyDescent="0.2">
      <c r="B17" s="15" t="str">
        <f>IF('3. Setup &amp; Role Data'!G23="","",'3. Setup &amp; Role Data'!G23)</f>
        <v/>
      </c>
      <c r="C17" s="15" t="str">
        <f>IF('6. Role Evaluation'!H19="","No",'6. Role Evaluation'!H19)</f>
        <v>No</v>
      </c>
      <c r="D17" s="15" t="str">
        <f t="shared" si="0"/>
        <v/>
      </c>
      <c r="E17" s="15" t="str">
        <f t="array" aca="1" ref="E17" ca="1">IFERROR(INDEX(Include,SMALL((IF(LEN(Include),ROW(INDIRECT("1:"&amp;ROWS(Include))))),ROW(B15)),1),"")</f>
        <v/>
      </c>
      <c r="F17" s="15" t="str">
        <f ca="1">IF(E17="","",INDEX('3. Setup &amp; Role Data'!$G$9:$I$109,MATCH(E17,Role,0),2))</f>
        <v/>
      </c>
      <c r="G17" s="15" t="str">
        <f ca="1">IF(E17="","",INDEX('3. Setup &amp; Role Data'!$G$9:$I$109,MATCH(E17,Role,0),3))</f>
        <v/>
      </c>
      <c r="H17" s="15" t="str">
        <f ca="1">IF(E17="","",INDEX('6. Role Evaluation'!$B$5:$G$104,MATCH(E17,Role,0),2))</f>
        <v/>
      </c>
      <c r="I17" s="15" t="str">
        <f ca="1">IF(E17="","",INDEX('6. Role Evaluation'!$B$5:$G$104,MATCH(E17,Role,0),3))</f>
        <v/>
      </c>
      <c r="J17" s="15" t="str">
        <f ca="1">IF(E17="","",INDEX('6. Role Evaluation'!$B$5:$G$104,MATCH(E17,Role,0),4))</f>
        <v/>
      </c>
      <c r="K17" s="15" t="str">
        <f ca="1">IF(E17="","",INDEX('6. Role Evaluation'!$B$5:$G$104,MATCH(E17,Role,0),6))</f>
        <v/>
      </c>
      <c r="L17" s="15" t="str">
        <f ca="1">IF(K17='Hidden-Menus'!$E$3,1,IF(K17='Hidden-Menus'!$E$5,-1,IF(K17='Hidden-Menus'!$E$4,0,"")))</f>
        <v/>
      </c>
      <c r="M17" s="15" t="str">
        <f ca="1">IF(E17="","",INDEX('6. Role Evaluation'!$B$5:$G$104,MATCH(E17,Role,0),5))</f>
        <v/>
      </c>
      <c r="N17" s="15">
        <f ca="1">IF(M17='Hidden-Menus'!$F$3,1,IF(M17='Hidden-Menus'!$F$5,-1,0))</f>
        <v>0</v>
      </c>
      <c r="O17" s="15" t="str">
        <f ca="1">IF('7. Demand &amp; Supply Forecast'!B24="","",F17+F17*'7. Demand &amp; Supply Forecast'!F24)</f>
        <v/>
      </c>
      <c r="P17" s="15" t="str">
        <f ca="1">IF('7. Demand &amp; Supply Forecast'!B24="","",O17+O17*'7. Demand &amp; Supply Forecast'!F24)</f>
        <v/>
      </c>
      <c r="Q17" s="15" t="str">
        <f ca="1">IF('7. Demand &amp; Supply Forecast'!B24="","",P17+P17*'7. Demand &amp; Supply Forecast'!F24)</f>
        <v/>
      </c>
      <c r="R17" s="15" t="str">
        <f ca="1">IF($E17="","",MROUND(O17*'7. Demand &amp; Supply Forecast'!K24,1000))</f>
        <v/>
      </c>
      <c r="S17" s="15" t="str">
        <f ca="1">IF($E17="","",MROUND(P17*'7. Demand &amp; Supply Forecast'!L24,1000))</f>
        <v/>
      </c>
      <c r="T17" s="15" t="str">
        <f ca="1">IF($E17="","",MROUND(Q17*'7. Demand &amp; Supply Forecast'!M24,1000))</f>
        <v/>
      </c>
      <c r="U17" s="15" t="str">
        <f ca="1">IF(E17="","",'7. Demand &amp; Supply Forecast'!Q24-'7. Demand &amp; Supply Forecast'!K24)</f>
        <v/>
      </c>
      <c r="V17" s="15" t="str">
        <f ca="1">IF(E17="","",'7. Demand &amp; Supply Forecast'!R24-'7. Demand &amp; Supply Forecast'!L24)</f>
        <v/>
      </c>
      <c r="W17" s="15" t="str">
        <f ca="1">IF(E17="","",'7. Demand &amp; Supply Forecast'!S24-'7. Demand &amp; Supply Forecast'!M24)</f>
        <v/>
      </c>
    </row>
    <row r="18" spans="2:23" x14ac:dyDescent="0.2">
      <c r="B18" s="15" t="str">
        <f>IF('3. Setup &amp; Role Data'!G24="","",'3. Setup &amp; Role Data'!G24)</f>
        <v/>
      </c>
      <c r="C18" s="15" t="str">
        <f>IF('6. Role Evaluation'!H20="","No",'6. Role Evaluation'!H20)</f>
        <v>No</v>
      </c>
      <c r="D18" s="15" t="str">
        <f t="shared" si="0"/>
        <v/>
      </c>
      <c r="E18" s="15" t="str">
        <f t="array" aca="1" ref="E18" ca="1">IFERROR(INDEX(Include,SMALL((IF(LEN(Include),ROW(INDIRECT("1:"&amp;ROWS(Include))))),ROW(B16)),1),"")</f>
        <v/>
      </c>
      <c r="F18" s="15" t="str">
        <f ca="1">IF(E18="","",INDEX('3. Setup &amp; Role Data'!$G$9:$I$109,MATCH(E18,Role,0),2))</f>
        <v/>
      </c>
      <c r="G18" s="15" t="str">
        <f ca="1">IF(E18="","",INDEX('3. Setup &amp; Role Data'!$G$9:$I$109,MATCH(E18,Role,0),3))</f>
        <v/>
      </c>
      <c r="H18" s="15" t="str">
        <f ca="1">IF(E18="","",INDEX('6. Role Evaluation'!$B$5:$G$104,MATCH(E18,Role,0),2))</f>
        <v/>
      </c>
      <c r="I18" s="15" t="str">
        <f ca="1">IF(E18="","",INDEX('6. Role Evaluation'!$B$5:$G$104,MATCH(E18,Role,0),3))</f>
        <v/>
      </c>
      <c r="J18" s="15" t="str">
        <f ca="1">IF(E18="","",INDEX('6. Role Evaluation'!$B$5:$G$104,MATCH(E18,Role,0),4))</f>
        <v/>
      </c>
      <c r="K18" s="15" t="str">
        <f ca="1">IF(E18="","",INDEX('6. Role Evaluation'!$B$5:$G$104,MATCH(E18,Role,0),6))</f>
        <v/>
      </c>
      <c r="L18" s="15" t="str">
        <f ca="1">IF(K18='Hidden-Menus'!$E$3,1,IF(K18='Hidden-Menus'!$E$5,-1,IF(K18='Hidden-Menus'!$E$4,0,"")))</f>
        <v/>
      </c>
      <c r="M18" s="15" t="str">
        <f ca="1">IF(E18="","",INDEX('6. Role Evaluation'!$B$5:$G$104,MATCH(E18,Role,0),5))</f>
        <v/>
      </c>
      <c r="N18" s="15">
        <f ca="1">IF(M18='Hidden-Menus'!$F$3,1,IF(M18='Hidden-Menus'!$F$5,-1,0))</f>
        <v>0</v>
      </c>
      <c r="O18" s="15" t="str">
        <f ca="1">IF('7. Demand &amp; Supply Forecast'!B25="","",F18+F18*'7. Demand &amp; Supply Forecast'!F25)</f>
        <v/>
      </c>
      <c r="P18" s="15" t="str">
        <f ca="1">IF('7. Demand &amp; Supply Forecast'!B25="","",O18+O18*'7. Demand &amp; Supply Forecast'!F25)</f>
        <v/>
      </c>
      <c r="Q18" s="15" t="str">
        <f ca="1">IF('7. Demand &amp; Supply Forecast'!B25="","",P18+P18*'7. Demand &amp; Supply Forecast'!F25)</f>
        <v/>
      </c>
      <c r="R18" s="15" t="str">
        <f ca="1">IF($E18="","",MROUND(O18*'7. Demand &amp; Supply Forecast'!K25,1000))</f>
        <v/>
      </c>
      <c r="S18" s="15" t="str">
        <f ca="1">IF($E18="","",MROUND(P18*'7. Demand &amp; Supply Forecast'!L25,1000))</f>
        <v/>
      </c>
      <c r="T18" s="15" t="str">
        <f ca="1">IF($E18="","",MROUND(Q18*'7. Demand &amp; Supply Forecast'!M25,1000))</f>
        <v/>
      </c>
      <c r="U18" s="15" t="str">
        <f ca="1">IF(E18="","",'7. Demand &amp; Supply Forecast'!Q25-'7. Demand &amp; Supply Forecast'!K25)</f>
        <v/>
      </c>
      <c r="V18" s="15" t="str">
        <f ca="1">IF(E18="","",'7. Demand &amp; Supply Forecast'!R25-'7. Demand &amp; Supply Forecast'!L25)</f>
        <v/>
      </c>
      <c r="W18" s="15" t="str">
        <f ca="1">IF(E18="","",'7. Demand &amp; Supply Forecast'!S25-'7. Demand &amp; Supply Forecast'!M25)</f>
        <v/>
      </c>
    </row>
    <row r="19" spans="2:23" x14ac:dyDescent="0.2">
      <c r="B19" s="15" t="str">
        <f>IF('3. Setup &amp; Role Data'!G25="","",'3. Setup &amp; Role Data'!G25)</f>
        <v/>
      </c>
      <c r="C19" s="15" t="str">
        <f>IF('6. Role Evaluation'!H21="","No",'6. Role Evaluation'!H21)</f>
        <v>No</v>
      </c>
      <c r="D19" s="15" t="str">
        <f t="shared" si="0"/>
        <v/>
      </c>
      <c r="E19" s="15" t="str">
        <f t="array" aca="1" ref="E19" ca="1">IFERROR(INDEX(Include,SMALL((IF(LEN(Include),ROW(INDIRECT("1:"&amp;ROWS(Include))))),ROW(B17)),1),"")</f>
        <v/>
      </c>
      <c r="F19" s="15" t="str">
        <f ca="1">IF(E19="","",INDEX('3. Setup &amp; Role Data'!$G$9:$I$109,MATCH(E19,Role,0),2))</f>
        <v/>
      </c>
      <c r="G19" s="15" t="str">
        <f ca="1">IF(E19="","",INDEX('3. Setup &amp; Role Data'!$G$9:$I$109,MATCH(E19,Role,0),3))</f>
        <v/>
      </c>
      <c r="H19" s="15" t="str">
        <f ca="1">IF(E19="","",INDEX('6. Role Evaluation'!$B$5:$G$104,MATCH(E19,Role,0),2))</f>
        <v/>
      </c>
      <c r="I19" s="15" t="str">
        <f ca="1">IF(E19="","",INDEX('6. Role Evaluation'!$B$5:$G$104,MATCH(E19,Role,0),3))</f>
        <v/>
      </c>
      <c r="J19" s="15" t="str">
        <f ca="1">IF(E19="","",INDEX('6. Role Evaluation'!$B$5:$G$104,MATCH(E19,Role,0),4))</f>
        <v/>
      </c>
      <c r="K19" s="15" t="str">
        <f ca="1">IF(E19="","",INDEX('6. Role Evaluation'!$B$5:$G$104,MATCH(E19,Role,0),6))</f>
        <v/>
      </c>
      <c r="L19" s="15" t="str">
        <f ca="1">IF(K19='Hidden-Menus'!$E$3,1,IF(K19='Hidden-Menus'!$E$5,-1,IF(K19='Hidden-Menus'!$E$4,0,"")))</f>
        <v/>
      </c>
      <c r="M19" s="15" t="str">
        <f ca="1">IF(E19="","",INDEX('6. Role Evaluation'!$B$5:$G$104,MATCH(E19,Role,0),5))</f>
        <v/>
      </c>
      <c r="N19" s="15">
        <f ca="1">IF(M19='Hidden-Menus'!$F$3,1,IF(M19='Hidden-Menus'!$F$5,-1,0))</f>
        <v>0</v>
      </c>
      <c r="O19" s="15" t="str">
        <f ca="1">IF('7. Demand &amp; Supply Forecast'!B26="","",F19+F19*'7. Demand &amp; Supply Forecast'!F26)</f>
        <v/>
      </c>
      <c r="P19" s="15" t="str">
        <f ca="1">IF('7. Demand &amp; Supply Forecast'!B26="","",O19+O19*'7. Demand &amp; Supply Forecast'!F26)</f>
        <v/>
      </c>
      <c r="Q19" s="15" t="str">
        <f ca="1">IF('7. Demand &amp; Supply Forecast'!B26="","",P19+P19*'7. Demand &amp; Supply Forecast'!F26)</f>
        <v/>
      </c>
      <c r="R19" s="15" t="str">
        <f ca="1">IF($E19="","",MROUND(O19*'7. Demand &amp; Supply Forecast'!K26,1000))</f>
        <v/>
      </c>
      <c r="S19" s="15" t="str">
        <f ca="1">IF($E19="","",MROUND(P19*'7. Demand &amp; Supply Forecast'!L26,1000))</f>
        <v/>
      </c>
      <c r="T19" s="15" t="str">
        <f ca="1">IF($E19="","",MROUND(Q19*'7. Demand &amp; Supply Forecast'!M26,1000))</f>
        <v/>
      </c>
      <c r="U19" s="15" t="str">
        <f ca="1">IF(E19="","",'7. Demand &amp; Supply Forecast'!Q26-'7. Demand &amp; Supply Forecast'!K26)</f>
        <v/>
      </c>
      <c r="V19" s="15" t="str">
        <f ca="1">IF(E19="","",'7. Demand &amp; Supply Forecast'!R26-'7. Demand &amp; Supply Forecast'!L26)</f>
        <v/>
      </c>
      <c r="W19" s="15" t="str">
        <f ca="1">IF(E19="","",'7. Demand &amp; Supply Forecast'!S26-'7. Demand &amp; Supply Forecast'!M26)</f>
        <v/>
      </c>
    </row>
    <row r="20" spans="2:23" x14ac:dyDescent="0.2">
      <c r="B20" s="15" t="str">
        <f>IF('3. Setup &amp; Role Data'!G26="","",'3. Setup &amp; Role Data'!G26)</f>
        <v/>
      </c>
      <c r="C20" s="15" t="str">
        <f>IF('6. Role Evaluation'!H22="","No",'6. Role Evaluation'!H22)</f>
        <v>No</v>
      </c>
      <c r="D20" s="15" t="str">
        <f t="shared" si="0"/>
        <v/>
      </c>
      <c r="E20" s="15" t="str">
        <f t="array" aca="1" ref="E20" ca="1">IFERROR(INDEX(Include,SMALL((IF(LEN(Include),ROW(INDIRECT("1:"&amp;ROWS(Include))))),ROW(B18)),1),"")</f>
        <v/>
      </c>
      <c r="F20" s="15" t="str">
        <f ca="1">IF(E20="","",INDEX('3. Setup &amp; Role Data'!$G$9:$I$109,MATCH(E20,Role,0),2))</f>
        <v/>
      </c>
      <c r="G20" s="15" t="str">
        <f ca="1">IF(E20="","",INDEX('3. Setup &amp; Role Data'!$G$9:$I$109,MATCH(E20,Role,0),3))</f>
        <v/>
      </c>
      <c r="H20" s="15" t="str">
        <f ca="1">IF(E20="","",INDEX('6. Role Evaluation'!$B$5:$G$104,MATCH(E20,Role,0),2))</f>
        <v/>
      </c>
      <c r="I20" s="15" t="str">
        <f ca="1">IF(E20="","",INDEX('6. Role Evaluation'!$B$5:$G$104,MATCH(E20,Role,0),3))</f>
        <v/>
      </c>
      <c r="J20" s="15" t="str">
        <f ca="1">IF(E20="","",INDEX('6. Role Evaluation'!$B$5:$G$104,MATCH(E20,Role,0),4))</f>
        <v/>
      </c>
      <c r="K20" s="15" t="str">
        <f ca="1">IF(E20="","",INDEX('6. Role Evaluation'!$B$5:$G$104,MATCH(E20,Role,0),6))</f>
        <v/>
      </c>
      <c r="L20" s="15" t="str">
        <f ca="1">IF(K20='Hidden-Menus'!$E$3,1,IF(K20='Hidden-Menus'!$E$5,-1,IF(K20='Hidden-Menus'!$E$4,0,"")))</f>
        <v/>
      </c>
      <c r="M20" s="15" t="str">
        <f ca="1">IF(E20="","",INDEX('6. Role Evaluation'!$B$5:$G$104,MATCH(E20,Role,0),5))</f>
        <v/>
      </c>
      <c r="N20" s="15">
        <f ca="1">IF(M20='Hidden-Menus'!$F$3,1,IF(M20='Hidden-Menus'!$F$5,-1,0))</f>
        <v>0</v>
      </c>
      <c r="O20" s="15" t="str">
        <f ca="1">IF('7. Demand &amp; Supply Forecast'!B27="","",F20+F20*'7. Demand &amp; Supply Forecast'!F27)</f>
        <v/>
      </c>
      <c r="P20" s="15" t="str">
        <f ca="1">IF('7. Demand &amp; Supply Forecast'!B27="","",O20+O20*'7. Demand &amp; Supply Forecast'!F27)</f>
        <v/>
      </c>
      <c r="Q20" s="15" t="str">
        <f ca="1">IF('7. Demand &amp; Supply Forecast'!B27="","",P20+P20*'7. Demand &amp; Supply Forecast'!F27)</f>
        <v/>
      </c>
      <c r="R20" s="15" t="str">
        <f ca="1">IF($E20="","",MROUND(O20*'7. Demand &amp; Supply Forecast'!K27,1000))</f>
        <v/>
      </c>
      <c r="S20" s="15" t="str">
        <f ca="1">IF($E20="","",MROUND(P20*'7. Demand &amp; Supply Forecast'!L27,1000))</f>
        <v/>
      </c>
      <c r="T20" s="15" t="str">
        <f ca="1">IF($E20="","",MROUND(Q20*'7. Demand &amp; Supply Forecast'!M27,1000))</f>
        <v/>
      </c>
      <c r="U20" s="15" t="str">
        <f ca="1">IF(E20="","",'7. Demand &amp; Supply Forecast'!Q27-'7. Demand &amp; Supply Forecast'!K27)</f>
        <v/>
      </c>
      <c r="V20" s="15" t="str">
        <f ca="1">IF(E20="","",'7. Demand &amp; Supply Forecast'!R27-'7. Demand &amp; Supply Forecast'!L27)</f>
        <v/>
      </c>
      <c r="W20" s="15" t="str">
        <f ca="1">IF(E20="","",'7. Demand &amp; Supply Forecast'!S27-'7. Demand &amp; Supply Forecast'!M27)</f>
        <v/>
      </c>
    </row>
    <row r="21" spans="2:23" x14ac:dyDescent="0.2">
      <c r="B21" s="15" t="str">
        <f>IF('3. Setup &amp; Role Data'!G27="","",'3. Setup &amp; Role Data'!G27)</f>
        <v/>
      </c>
      <c r="C21" s="15" t="str">
        <f>IF('6. Role Evaluation'!H23="","No",'6. Role Evaluation'!H23)</f>
        <v>No</v>
      </c>
      <c r="D21" s="15" t="str">
        <f t="shared" si="0"/>
        <v/>
      </c>
      <c r="E21" s="15" t="str">
        <f t="array" aca="1" ref="E21" ca="1">IFERROR(INDEX(Include,SMALL((IF(LEN(Include),ROW(INDIRECT("1:"&amp;ROWS(Include))))),ROW(B19)),1),"")</f>
        <v/>
      </c>
      <c r="F21" s="15" t="str">
        <f ca="1">IF(E21="","",INDEX('3. Setup &amp; Role Data'!$G$9:$I$109,MATCH(E21,Role,0),2))</f>
        <v/>
      </c>
      <c r="G21" s="15" t="str">
        <f ca="1">IF(E21="","",INDEX('3. Setup &amp; Role Data'!$G$9:$I$109,MATCH(E21,Role,0),3))</f>
        <v/>
      </c>
      <c r="H21" s="15" t="str">
        <f ca="1">IF(E21="","",INDEX('6. Role Evaluation'!$B$5:$G$104,MATCH(E21,Role,0),2))</f>
        <v/>
      </c>
      <c r="I21" s="15" t="str">
        <f ca="1">IF(E21="","",INDEX('6. Role Evaluation'!$B$5:$G$104,MATCH(E21,Role,0),3))</f>
        <v/>
      </c>
      <c r="J21" s="15" t="str">
        <f ca="1">IF(E21="","",INDEX('6. Role Evaluation'!$B$5:$G$104,MATCH(E21,Role,0),4))</f>
        <v/>
      </c>
      <c r="K21" s="15" t="str">
        <f ca="1">IF(E21="","",INDEX('6. Role Evaluation'!$B$5:$G$104,MATCH(E21,Role,0),6))</f>
        <v/>
      </c>
      <c r="L21" s="15" t="str">
        <f ca="1">IF(K21='Hidden-Menus'!$E$3,1,IF(K21='Hidden-Menus'!$E$5,-1,IF(K21='Hidden-Menus'!$E$4,0,"")))</f>
        <v/>
      </c>
      <c r="M21" s="15" t="str">
        <f ca="1">IF(E21="","",INDEX('6. Role Evaluation'!$B$5:$G$104,MATCH(E21,Role,0),5))</f>
        <v/>
      </c>
      <c r="N21" s="15">
        <f ca="1">IF(M21='Hidden-Menus'!$F$3,1,IF(M21='Hidden-Menus'!$F$5,-1,0))</f>
        <v>0</v>
      </c>
      <c r="O21" s="15" t="str">
        <f ca="1">IF('7. Demand &amp; Supply Forecast'!B28="","",F21+F21*'7. Demand &amp; Supply Forecast'!F28)</f>
        <v/>
      </c>
      <c r="P21" s="15" t="str">
        <f ca="1">IF('7. Demand &amp; Supply Forecast'!B28="","",O21+O21*'7. Demand &amp; Supply Forecast'!F28)</f>
        <v/>
      </c>
      <c r="Q21" s="15" t="str">
        <f ca="1">IF('7. Demand &amp; Supply Forecast'!B28="","",P21+P21*'7. Demand &amp; Supply Forecast'!F28)</f>
        <v/>
      </c>
      <c r="R21" s="15" t="str">
        <f ca="1">IF($E21="","",MROUND(O21*'7. Demand &amp; Supply Forecast'!K28,1000))</f>
        <v/>
      </c>
      <c r="S21" s="15" t="str">
        <f ca="1">IF($E21="","",MROUND(P21*'7. Demand &amp; Supply Forecast'!L28,1000))</f>
        <v/>
      </c>
      <c r="T21" s="15" t="str">
        <f ca="1">IF($E21="","",MROUND(Q21*'7. Demand &amp; Supply Forecast'!M28,1000))</f>
        <v/>
      </c>
      <c r="U21" s="15" t="str">
        <f ca="1">IF(E21="","",'7. Demand &amp; Supply Forecast'!Q28-'7. Demand &amp; Supply Forecast'!K28)</f>
        <v/>
      </c>
      <c r="V21" s="15" t="str">
        <f ca="1">IF(E21="","",'7. Demand &amp; Supply Forecast'!R28-'7. Demand &amp; Supply Forecast'!L28)</f>
        <v/>
      </c>
      <c r="W21" s="15" t="str">
        <f ca="1">IF(E21="","",'7. Demand &amp; Supply Forecast'!S28-'7. Demand &amp; Supply Forecast'!M28)</f>
        <v/>
      </c>
    </row>
    <row r="22" spans="2:23" x14ac:dyDescent="0.2">
      <c r="B22" s="15" t="str">
        <f>IF('3. Setup &amp; Role Data'!G28="","",'3. Setup &amp; Role Data'!G28)</f>
        <v/>
      </c>
      <c r="C22" s="15" t="str">
        <f>IF('6. Role Evaluation'!H24="","No",'6. Role Evaluation'!H24)</f>
        <v>No</v>
      </c>
      <c r="D22" s="15" t="str">
        <f t="shared" si="0"/>
        <v/>
      </c>
      <c r="E22" s="15" t="str">
        <f t="array" aca="1" ref="E22" ca="1">IFERROR(INDEX(Include,SMALL((IF(LEN(Include),ROW(INDIRECT("1:"&amp;ROWS(Include))))),ROW(B20)),1),"")</f>
        <v/>
      </c>
      <c r="F22" s="15" t="str">
        <f ca="1">IF(E22="","",INDEX('3. Setup &amp; Role Data'!$G$9:$I$109,MATCH(E22,Role,0),2))</f>
        <v/>
      </c>
      <c r="G22" s="15" t="str">
        <f ca="1">IF(E22="","",INDEX('3. Setup &amp; Role Data'!$G$9:$I$109,MATCH(E22,Role,0),3))</f>
        <v/>
      </c>
      <c r="H22" s="15" t="str">
        <f ca="1">IF(E22="","",INDEX('6. Role Evaluation'!$B$5:$G$104,MATCH(E22,Role,0),2))</f>
        <v/>
      </c>
      <c r="I22" s="15" t="str">
        <f ca="1">IF(E22="","",INDEX('6. Role Evaluation'!$B$5:$G$104,MATCH(E22,Role,0),3))</f>
        <v/>
      </c>
      <c r="J22" s="15" t="str">
        <f ca="1">IF(E22="","",INDEX('6. Role Evaluation'!$B$5:$G$104,MATCH(E22,Role,0),4))</f>
        <v/>
      </c>
      <c r="K22" s="15" t="str">
        <f ca="1">IF(E22="","",INDEX('6. Role Evaluation'!$B$5:$G$104,MATCH(E22,Role,0),6))</f>
        <v/>
      </c>
      <c r="L22" s="15" t="str">
        <f ca="1">IF(K22='Hidden-Menus'!$E$3,1,IF(K22='Hidden-Menus'!$E$5,-1,IF(K22='Hidden-Menus'!$E$4,0,"")))</f>
        <v/>
      </c>
      <c r="M22" s="15" t="str">
        <f ca="1">IF(E22="","",INDEX('6. Role Evaluation'!$B$5:$G$104,MATCH(E22,Role,0),5))</f>
        <v/>
      </c>
      <c r="N22" s="15">
        <f ca="1">IF(M22='Hidden-Menus'!$F$3,1,IF(M22='Hidden-Menus'!$F$5,-1,0))</f>
        <v>0</v>
      </c>
      <c r="O22" s="15" t="str">
        <f ca="1">IF('7. Demand &amp; Supply Forecast'!B29="","",F22+F22*'7. Demand &amp; Supply Forecast'!F29)</f>
        <v/>
      </c>
      <c r="P22" s="15" t="str">
        <f ca="1">IF('7. Demand &amp; Supply Forecast'!B29="","",O22+O22*'7. Demand &amp; Supply Forecast'!F29)</f>
        <v/>
      </c>
      <c r="Q22" s="15" t="str">
        <f ca="1">IF('7. Demand &amp; Supply Forecast'!B29="","",P22+P22*'7. Demand &amp; Supply Forecast'!F29)</f>
        <v/>
      </c>
      <c r="R22" s="15" t="str">
        <f ca="1">IF($E22="","",MROUND(O22*'7. Demand &amp; Supply Forecast'!K29,1000))</f>
        <v/>
      </c>
      <c r="S22" s="15" t="str">
        <f ca="1">IF($E22="","",MROUND(P22*'7. Demand &amp; Supply Forecast'!L29,1000))</f>
        <v/>
      </c>
      <c r="T22" s="15" t="str">
        <f ca="1">IF($E22="","",MROUND(Q22*'7. Demand &amp; Supply Forecast'!M29,1000))</f>
        <v/>
      </c>
      <c r="U22" s="15" t="str">
        <f ca="1">IF(E22="","",'7. Demand &amp; Supply Forecast'!Q29-'7. Demand &amp; Supply Forecast'!K29)</f>
        <v/>
      </c>
      <c r="V22" s="15" t="str">
        <f ca="1">IF(E22="","",'7. Demand &amp; Supply Forecast'!R29-'7. Demand &amp; Supply Forecast'!L29)</f>
        <v/>
      </c>
      <c r="W22" s="15" t="str">
        <f ca="1">IF(E22="","",'7. Demand &amp; Supply Forecast'!S29-'7. Demand &amp; Supply Forecast'!M29)</f>
        <v/>
      </c>
    </row>
    <row r="23" spans="2:23" x14ac:dyDescent="0.2">
      <c r="B23" s="15" t="str">
        <f>IF('3. Setup &amp; Role Data'!G29="","",'3. Setup &amp; Role Data'!G29)</f>
        <v/>
      </c>
      <c r="C23" s="15" t="str">
        <f>IF('6. Role Evaluation'!H25="","No",'6. Role Evaluation'!H25)</f>
        <v>No</v>
      </c>
      <c r="D23" s="15" t="str">
        <f t="shared" si="0"/>
        <v/>
      </c>
      <c r="E23" s="15" t="str">
        <f t="array" aca="1" ref="E23" ca="1">IFERROR(INDEX(Include,SMALL((IF(LEN(Include),ROW(INDIRECT("1:"&amp;ROWS(Include))))),ROW(B21)),1),"")</f>
        <v/>
      </c>
      <c r="F23" s="15" t="str">
        <f ca="1">IF(E23="","",INDEX('3. Setup &amp; Role Data'!$G$9:$I$109,MATCH(E23,Role,0),2))</f>
        <v/>
      </c>
      <c r="G23" s="15" t="str">
        <f ca="1">IF(E23="","",INDEX('3. Setup &amp; Role Data'!$G$9:$I$109,MATCH(E23,Role,0),3))</f>
        <v/>
      </c>
      <c r="H23" s="15" t="str">
        <f ca="1">IF(E23="","",INDEX('6. Role Evaluation'!$B$5:$G$104,MATCH(E23,Role,0),2))</f>
        <v/>
      </c>
      <c r="I23" s="15" t="str">
        <f ca="1">IF(E23="","",INDEX('6. Role Evaluation'!$B$5:$G$104,MATCH(E23,Role,0),3))</f>
        <v/>
      </c>
      <c r="J23" s="15" t="str">
        <f ca="1">IF(E23="","",INDEX('6. Role Evaluation'!$B$5:$G$104,MATCH(E23,Role,0),4))</f>
        <v/>
      </c>
      <c r="K23" s="15" t="str">
        <f ca="1">IF(E23="","",INDEX('6. Role Evaluation'!$B$5:$G$104,MATCH(E23,Role,0),6))</f>
        <v/>
      </c>
      <c r="L23" s="15" t="str">
        <f ca="1">IF(K23='Hidden-Menus'!$E$3,1,IF(K23='Hidden-Menus'!$E$5,-1,IF(K23='Hidden-Menus'!$E$4,0,"")))</f>
        <v/>
      </c>
      <c r="M23" s="15" t="str">
        <f ca="1">IF(E23="","",INDEX('6. Role Evaluation'!$B$5:$G$104,MATCH(E23,Role,0),5))</f>
        <v/>
      </c>
      <c r="N23" s="15">
        <f ca="1">IF(M23='Hidden-Menus'!$F$3,1,IF(M23='Hidden-Menus'!$F$5,-1,0))</f>
        <v>0</v>
      </c>
      <c r="O23" s="15" t="str">
        <f ca="1">IF('7. Demand &amp; Supply Forecast'!B30="","",F23+F23*'7. Demand &amp; Supply Forecast'!F30)</f>
        <v/>
      </c>
      <c r="P23" s="15" t="str">
        <f ca="1">IF('7. Demand &amp; Supply Forecast'!B30="","",O23+O23*'7. Demand &amp; Supply Forecast'!F30)</f>
        <v/>
      </c>
      <c r="Q23" s="15" t="str">
        <f ca="1">IF('7. Demand &amp; Supply Forecast'!B30="","",P23+P23*'7. Demand &amp; Supply Forecast'!F30)</f>
        <v/>
      </c>
      <c r="R23" s="15" t="str">
        <f ca="1">IF($E23="","",MROUND(O23*'7. Demand &amp; Supply Forecast'!K30,1000))</f>
        <v/>
      </c>
      <c r="S23" s="15" t="str">
        <f ca="1">IF($E23="","",MROUND(P23*'7. Demand &amp; Supply Forecast'!L30,1000))</f>
        <v/>
      </c>
      <c r="T23" s="15" t="str">
        <f ca="1">IF($E23="","",MROUND(Q23*'7. Demand &amp; Supply Forecast'!M30,1000))</f>
        <v/>
      </c>
      <c r="U23" s="15" t="str">
        <f ca="1">IF(E23="","",'7. Demand &amp; Supply Forecast'!Q30-'7. Demand &amp; Supply Forecast'!K30)</f>
        <v/>
      </c>
      <c r="V23" s="15" t="str">
        <f ca="1">IF(E23="","",'7. Demand &amp; Supply Forecast'!R30-'7. Demand &amp; Supply Forecast'!L30)</f>
        <v/>
      </c>
      <c r="W23" s="15" t="str">
        <f ca="1">IF(E23="","",'7. Demand &amp; Supply Forecast'!S30-'7. Demand &amp; Supply Forecast'!M30)</f>
        <v/>
      </c>
    </row>
    <row r="24" spans="2:23" x14ac:dyDescent="0.2">
      <c r="B24" s="15" t="str">
        <f>IF('3. Setup &amp; Role Data'!G30="","",'3. Setup &amp; Role Data'!G30)</f>
        <v/>
      </c>
      <c r="C24" s="15" t="str">
        <f>IF('6. Role Evaluation'!H26="","No",'6. Role Evaluation'!H26)</f>
        <v>No</v>
      </c>
      <c r="D24" s="15" t="str">
        <f t="shared" si="0"/>
        <v/>
      </c>
      <c r="E24" s="15" t="str">
        <f t="array" aca="1" ref="E24" ca="1">IFERROR(INDEX(Include,SMALL((IF(LEN(Include),ROW(INDIRECT("1:"&amp;ROWS(Include))))),ROW(B22)),1),"")</f>
        <v/>
      </c>
      <c r="F24" s="15" t="str">
        <f ca="1">IF(E24="","",INDEX('3. Setup &amp; Role Data'!$G$9:$I$109,MATCH(E24,Role,0),2))</f>
        <v/>
      </c>
      <c r="G24" s="15" t="str">
        <f ca="1">IF(E24="","",INDEX('3. Setup &amp; Role Data'!$G$9:$I$109,MATCH(E24,Role,0),3))</f>
        <v/>
      </c>
      <c r="H24" s="15" t="str">
        <f ca="1">IF(E24="","",INDEX('6. Role Evaluation'!$B$5:$G$104,MATCH(E24,Role,0),2))</f>
        <v/>
      </c>
      <c r="I24" s="15" t="str">
        <f ca="1">IF(E24="","",INDEX('6. Role Evaluation'!$B$5:$G$104,MATCH(E24,Role,0),3))</f>
        <v/>
      </c>
      <c r="J24" s="15" t="str">
        <f ca="1">IF(E24="","",INDEX('6. Role Evaluation'!$B$5:$G$104,MATCH(E24,Role,0),4))</f>
        <v/>
      </c>
      <c r="K24" s="15" t="str">
        <f ca="1">IF(E24="","",INDEX('6. Role Evaluation'!$B$5:$G$104,MATCH(E24,Role,0),6))</f>
        <v/>
      </c>
      <c r="L24" s="15" t="str">
        <f ca="1">IF(K24='Hidden-Menus'!$E$3,1,IF(K24='Hidden-Menus'!$E$5,-1,IF(K24='Hidden-Menus'!$E$4,0,"")))</f>
        <v/>
      </c>
      <c r="M24" s="15" t="str">
        <f ca="1">IF(E24="","",INDEX('6. Role Evaluation'!$B$5:$G$104,MATCH(E24,Role,0),5))</f>
        <v/>
      </c>
      <c r="N24" s="15">
        <f ca="1">IF(M24='Hidden-Menus'!$F$3,1,IF(M24='Hidden-Menus'!$F$5,-1,0))</f>
        <v>0</v>
      </c>
      <c r="O24" s="15" t="str">
        <f ca="1">IF('7. Demand &amp; Supply Forecast'!B31="","",F24+F24*'7. Demand &amp; Supply Forecast'!F31)</f>
        <v/>
      </c>
      <c r="P24" s="15" t="str">
        <f ca="1">IF('7. Demand &amp; Supply Forecast'!B31="","",O24+O24*'7. Demand &amp; Supply Forecast'!F31)</f>
        <v/>
      </c>
      <c r="Q24" s="15" t="str">
        <f ca="1">IF('7. Demand &amp; Supply Forecast'!B31="","",P24+P24*'7. Demand &amp; Supply Forecast'!F31)</f>
        <v/>
      </c>
      <c r="R24" s="15" t="str">
        <f ca="1">IF($E24="","",MROUND(O24*'7. Demand &amp; Supply Forecast'!K31,1000))</f>
        <v/>
      </c>
      <c r="S24" s="15" t="str">
        <f ca="1">IF($E24="","",MROUND(P24*'7. Demand &amp; Supply Forecast'!L31,1000))</f>
        <v/>
      </c>
      <c r="T24" s="15" t="str">
        <f ca="1">IF($E24="","",MROUND(Q24*'7. Demand &amp; Supply Forecast'!M31,1000))</f>
        <v/>
      </c>
      <c r="U24" s="15" t="str">
        <f ca="1">IF(E24="","",'7. Demand &amp; Supply Forecast'!Q31-'7. Demand &amp; Supply Forecast'!K31)</f>
        <v/>
      </c>
      <c r="V24" s="15" t="str">
        <f ca="1">IF(E24="","",'7. Demand &amp; Supply Forecast'!R31-'7. Demand &amp; Supply Forecast'!L31)</f>
        <v/>
      </c>
      <c r="W24" s="15" t="str">
        <f ca="1">IF(E24="","",'7. Demand &amp; Supply Forecast'!S31-'7. Demand &amp; Supply Forecast'!M31)</f>
        <v/>
      </c>
    </row>
    <row r="25" spans="2:23" x14ac:dyDescent="0.2">
      <c r="B25" s="15" t="str">
        <f>IF('3. Setup &amp; Role Data'!G31="","",'3. Setup &amp; Role Data'!G31)</f>
        <v/>
      </c>
      <c r="C25" s="15" t="str">
        <f>IF('6. Role Evaluation'!H27="","No",'6. Role Evaluation'!H27)</f>
        <v>No</v>
      </c>
      <c r="D25" s="15" t="str">
        <f t="shared" si="0"/>
        <v/>
      </c>
      <c r="E25" s="15" t="str">
        <f t="array" aca="1" ref="E25" ca="1">IFERROR(INDEX(Include,SMALL((IF(LEN(Include),ROW(INDIRECT("1:"&amp;ROWS(Include))))),ROW(B23)),1),"")</f>
        <v/>
      </c>
      <c r="F25" s="15" t="str">
        <f ca="1">IF(E25="","",INDEX('3. Setup &amp; Role Data'!$G$9:$I$109,MATCH(E25,Role,0),2))</f>
        <v/>
      </c>
      <c r="G25" s="15" t="str">
        <f ca="1">IF(E25="","",INDEX('3. Setup &amp; Role Data'!$G$9:$I$109,MATCH(E25,Role,0),3))</f>
        <v/>
      </c>
      <c r="H25" s="15" t="str">
        <f ca="1">IF(E25="","",INDEX('6. Role Evaluation'!$B$5:$G$104,MATCH(E25,Role,0),2))</f>
        <v/>
      </c>
      <c r="I25" s="15" t="str">
        <f ca="1">IF(E25="","",INDEX('6. Role Evaluation'!$B$5:$G$104,MATCH(E25,Role,0),3))</f>
        <v/>
      </c>
      <c r="J25" s="15" t="str">
        <f ca="1">IF(E25="","",INDEX('6. Role Evaluation'!$B$5:$G$104,MATCH(E25,Role,0),4))</f>
        <v/>
      </c>
      <c r="K25" s="15" t="str">
        <f ca="1">IF(E25="","",INDEX('6. Role Evaluation'!$B$5:$G$104,MATCH(E25,Role,0),6))</f>
        <v/>
      </c>
      <c r="L25" s="15" t="str">
        <f ca="1">IF(K25='Hidden-Menus'!$E$3,1,IF(K25='Hidden-Menus'!$E$5,-1,IF(K25='Hidden-Menus'!$E$4,0,"")))</f>
        <v/>
      </c>
      <c r="M25" s="15" t="str">
        <f ca="1">IF(E25="","",INDEX('6. Role Evaluation'!$B$5:$G$104,MATCH(E25,Role,0),5))</f>
        <v/>
      </c>
      <c r="N25" s="15">
        <f ca="1">IF(M25='Hidden-Menus'!$F$3,1,IF(M25='Hidden-Menus'!$F$5,-1,0))</f>
        <v>0</v>
      </c>
      <c r="O25" s="15" t="str">
        <f ca="1">IF('7. Demand &amp; Supply Forecast'!B32="","",F25+F25*'7. Demand &amp; Supply Forecast'!F32)</f>
        <v/>
      </c>
      <c r="P25" s="15" t="str">
        <f ca="1">IF('7. Demand &amp; Supply Forecast'!B32="","",O25+O25*'7. Demand &amp; Supply Forecast'!F32)</f>
        <v/>
      </c>
      <c r="Q25" s="15" t="str">
        <f ca="1">IF('7. Demand &amp; Supply Forecast'!B32="","",P25+P25*'7. Demand &amp; Supply Forecast'!F32)</f>
        <v/>
      </c>
      <c r="R25" s="15" t="str">
        <f ca="1">IF($E25="","",MROUND(O25*'7. Demand &amp; Supply Forecast'!K32,1000))</f>
        <v/>
      </c>
      <c r="S25" s="15" t="str">
        <f ca="1">IF($E25="","",MROUND(P25*'7. Demand &amp; Supply Forecast'!L32,1000))</f>
        <v/>
      </c>
      <c r="T25" s="15" t="str">
        <f ca="1">IF($E25="","",MROUND(Q25*'7. Demand &amp; Supply Forecast'!M32,1000))</f>
        <v/>
      </c>
      <c r="U25" s="15" t="str">
        <f ca="1">IF(E25="","",'7. Demand &amp; Supply Forecast'!Q32-'7. Demand &amp; Supply Forecast'!K32)</f>
        <v/>
      </c>
      <c r="V25" s="15" t="str">
        <f ca="1">IF(E25="","",'7. Demand &amp; Supply Forecast'!R32-'7. Demand &amp; Supply Forecast'!L32)</f>
        <v/>
      </c>
      <c r="W25" s="15" t="str">
        <f ca="1">IF(E25="","",'7. Demand &amp; Supply Forecast'!S32-'7. Demand &amp; Supply Forecast'!M32)</f>
        <v/>
      </c>
    </row>
    <row r="26" spans="2:23" x14ac:dyDescent="0.2">
      <c r="B26" s="15" t="str">
        <f>IF('3. Setup &amp; Role Data'!G32="","",'3. Setup &amp; Role Data'!G32)</f>
        <v/>
      </c>
      <c r="C26" s="15" t="str">
        <f>IF('6. Role Evaluation'!H28="","No",'6. Role Evaluation'!H28)</f>
        <v>No</v>
      </c>
      <c r="D26" s="15" t="str">
        <f t="shared" si="0"/>
        <v/>
      </c>
      <c r="E26" s="15" t="str">
        <f t="array" aca="1" ref="E26" ca="1">IFERROR(INDEX(Include,SMALL((IF(LEN(Include),ROW(INDIRECT("1:"&amp;ROWS(Include))))),ROW(B24)),1),"")</f>
        <v/>
      </c>
      <c r="F26" s="15" t="str">
        <f ca="1">IF(E26="","",INDEX('3. Setup &amp; Role Data'!$G$9:$I$109,MATCH(E26,Role,0),2))</f>
        <v/>
      </c>
      <c r="G26" s="15" t="str">
        <f ca="1">IF(E26="","",INDEX('3. Setup &amp; Role Data'!$G$9:$I$109,MATCH(E26,Role,0),3))</f>
        <v/>
      </c>
      <c r="H26" s="15" t="str">
        <f ca="1">IF(E26="","",INDEX('6. Role Evaluation'!$B$5:$G$104,MATCH(E26,Role,0),2))</f>
        <v/>
      </c>
      <c r="I26" s="15" t="str">
        <f ca="1">IF(E26="","",INDEX('6. Role Evaluation'!$B$5:$G$104,MATCH(E26,Role,0),3))</f>
        <v/>
      </c>
      <c r="J26" s="15" t="str">
        <f ca="1">IF(E26="","",INDEX('6. Role Evaluation'!$B$5:$G$104,MATCH(E26,Role,0),4))</f>
        <v/>
      </c>
      <c r="K26" s="15" t="str">
        <f ca="1">IF(E26="","",INDEX('6. Role Evaluation'!$B$5:$G$104,MATCH(E26,Role,0),6))</f>
        <v/>
      </c>
      <c r="L26" s="15" t="str">
        <f ca="1">IF(K26='Hidden-Menus'!$E$3,1,IF(K26='Hidden-Menus'!$E$5,-1,IF(K26='Hidden-Menus'!$E$4,0,"")))</f>
        <v/>
      </c>
      <c r="M26" s="15" t="str">
        <f ca="1">IF(E26="","",INDEX('6. Role Evaluation'!$B$5:$G$104,MATCH(E26,Role,0),5))</f>
        <v/>
      </c>
      <c r="N26" s="15">
        <f ca="1">IF(M26='Hidden-Menus'!$F$3,1,IF(M26='Hidden-Menus'!$F$5,-1,0))</f>
        <v>0</v>
      </c>
      <c r="O26" s="15" t="str">
        <f ca="1">IF('7. Demand &amp; Supply Forecast'!B33="","",F26+F26*'7. Demand &amp; Supply Forecast'!F33)</f>
        <v/>
      </c>
      <c r="P26" s="15" t="str">
        <f ca="1">IF('7. Demand &amp; Supply Forecast'!B33="","",O26+O26*'7. Demand &amp; Supply Forecast'!F33)</f>
        <v/>
      </c>
      <c r="Q26" s="15" t="str">
        <f ca="1">IF('7. Demand &amp; Supply Forecast'!B33="","",P26+P26*'7. Demand &amp; Supply Forecast'!F33)</f>
        <v/>
      </c>
      <c r="R26" s="15" t="str">
        <f ca="1">IF($E26="","",MROUND(O26*'7. Demand &amp; Supply Forecast'!K33,1000))</f>
        <v/>
      </c>
      <c r="S26" s="15" t="str">
        <f ca="1">IF($E26="","",MROUND(P26*'7. Demand &amp; Supply Forecast'!L33,1000))</f>
        <v/>
      </c>
      <c r="T26" s="15" t="str">
        <f ca="1">IF($E26="","",MROUND(Q26*'7. Demand &amp; Supply Forecast'!M33,1000))</f>
        <v/>
      </c>
      <c r="U26" s="15" t="str">
        <f ca="1">IF(E26="","",'7. Demand &amp; Supply Forecast'!Q33-'7. Demand &amp; Supply Forecast'!K33)</f>
        <v/>
      </c>
      <c r="V26" s="15" t="str">
        <f ca="1">IF(E26="","",'7. Demand &amp; Supply Forecast'!R33-'7. Demand &amp; Supply Forecast'!L33)</f>
        <v/>
      </c>
      <c r="W26" s="15" t="str">
        <f ca="1">IF(E26="","",'7. Demand &amp; Supply Forecast'!S33-'7. Demand &amp; Supply Forecast'!M33)</f>
        <v/>
      </c>
    </row>
    <row r="27" spans="2:23" x14ac:dyDescent="0.2">
      <c r="B27" s="15" t="str">
        <f>IF('3. Setup &amp; Role Data'!G33="","",'3. Setup &amp; Role Data'!G33)</f>
        <v/>
      </c>
      <c r="C27" s="15" t="str">
        <f>IF('6. Role Evaluation'!H29="","No",'6. Role Evaluation'!H29)</f>
        <v>No</v>
      </c>
      <c r="D27" s="15" t="str">
        <f t="shared" si="0"/>
        <v/>
      </c>
      <c r="E27" s="15" t="str">
        <f t="array" aca="1" ref="E27" ca="1">IFERROR(INDEX(Include,SMALL((IF(LEN(Include),ROW(INDIRECT("1:"&amp;ROWS(Include))))),ROW(B25)),1),"")</f>
        <v/>
      </c>
      <c r="F27" s="15" t="str">
        <f ca="1">IF(E27="","",INDEX('3. Setup &amp; Role Data'!$G$9:$I$109,MATCH(E27,Role,0),2))</f>
        <v/>
      </c>
      <c r="G27" s="15" t="str">
        <f ca="1">IF(E27="","",INDEX('3. Setup &amp; Role Data'!$G$9:$I$109,MATCH(E27,Role,0),3))</f>
        <v/>
      </c>
      <c r="H27" s="15" t="str">
        <f ca="1">IF(E27="","",INDEX('6. Role Evaluation'!$B$5:$G$104,MATCH(E27,Role,0),2))</f>
        <v/>
      </c>
      <c r="I27" s="15" t="str">
        <f ca="1">IF(E27="","",INDEX('6. Role Evaluation'!$B$5:$G$104,MATCH(E27,Role,0),3))</f>
        <v/>
      </c>
      <c r="J27" s="15" t="str">
        <f ca="1">IF(E27="","",INDEX('6. Role Evaluation'!$B$5:$G$104,MATCH(E27,Role,0),4))</f>
        <v/>
      </c>
      <c r="K27" s="15" t="str">
        <f ca="1">IF(E27="","",INDEX('6. Role Evaluation'!$B$5:$G$104,MATCH(E27,Role,0),6))</f>
        <v/>
      </c>
      <c r="L27" s="15" t="str">
        <f ca="1">IF(K27='Hidden-Menus'!$E$3,1,IF(K27='Hidden-Menus'!$E$5,-1,IF(K27='Hidden-Menus'!$E$4,0,"")))</f>
        <v/>
      </c>
      <c r="M27" s="15" t="str">
        <f ca="1">IF(E27="","",INDEX('6. Role Evaluation'!$B$5:$G$104,MATCH(E27,Role,0),5))</f>
        <v/>
      </c>
      <c r="N27" s="15">
        <f ca="1">IF(M27='Hidden-Menus'!$F$3,1,IF(M27='Hidden-Menus'!$F$5,-1,0))</f>
        <v>0</v>
      </c>
      <c r="O27" s="15" t="str">
        <f ca="1">IF('7. Demand &amp; Supply Forecast'!B34="","",F27+F27*'7. Demand &amp; Supply Forecast'!F34)</f>
        <v/>
      </c>
      <c r="P27" s="15" t="str">
        <f ca="1">IF('7. Demand &amp; Supply Forecast'!B34="","",O27+O27*'7. Demand &amp; Supply Forecast'!F34)</f>
        <v/>
      </c>
      <c r="Q27" s="15" t="str">
        <f ca="1">IF('7. Demand &amp; Supply Forecast'!B34="","",P27+P27*'7. Demand &amp; Supply Forecast'!F34)</f>
        <v/>
      </c>
      <c r="R27" s="15" t="str">
        <f ca="1">IF($E27="","",MROUND(O27*'7. Demand &amp; Supply Forecast'!K34,1000))</f>
        <v/>
      </c>
      <c r="S27" s="15" t="str">
        <f ca="1">IF($E27="","",MROUND(P27*'7. Demand &amp; Supply Forecast'!L34,1000))</f>
        <v/>
      </c>
      <c r="T27" s="15" t="str">
        <f ca="1">IF($E27="","",MROUND(Q27*'7. Demand &amp; Supply Forecast'!M34,1000))</f>
        <v/>
      </c>
      <c r="U27" s="15" t="str">
        <f ca="1">IF(E27="","",'7. Demand &amp; Supply Forecast'!Q34-'7. Demand &amp; Supply Forecast'!K34)</f>
        <v/>
      </c>
      <c r="V27" s="15" t="str">
        <f ca="1">IF(E27="","",'7. Demand &amp; Supply Forecast'!R34-'7. Demand &amp; Supply Forecast'!L34)</f>
        <v/>
      </c>
      <c r="W27" s="15" t="str">
        <f ca="1">IF(E27="","",'7. Demand &amp; Supply Forecast'!S34-'7. Demand &amp; Supply Forecast'!M34)</f>
        <v/>
      </c>
    </row>
    <row r="28" spans="2:23" x14ac:dyDescent="0.2">
      <c r="B28" s="15" t="str">
        <f>IF('3. Setup &amp; Role Data'!G34="","",'3. Setup &amp; Role Data'!G34)</f>
        <v/>
      </c>
      <c r="C28" s="15" t="str">
        <f>IF('6. Role Evaluation'!H30="","No",'6. Role Evaluation'!H30)</f>
        <v>No</v>
      </c>
      <c r="D28" s="15" t="str">
        <f t="shared" si="0"/>
        <v/>
      </c>
      <c r="E28" s="15" t="str">
        <f t="array" aca="1" ref="E28" ca="1">IFERROR(INDEX(Include,SMALL((IF(LEN(Include),ROW(INDIRECT("1:"&amp;ROWS(Include))))),ROW(B26)),1),"")</f>
        <v/>
      </c>
      <c r="F28" s="15" t="str">
        <f ca="1">IF(E28="","",INDEX('3. Setup &amp; Role Data'!$G$9:$I$109,MATCH(E28,Role,0),2))</f>
        <v/>
      </c>
      <c r="G28" s="15" t="str">
        <f ca="1">IF(E28="","",INDEX('3. Setup &amp; Role Data'!$G$9:$I$109,MATCH(E28,Role,0),3))</f>
        <v/>
      </c>
      <c r="H28" s="15" t="str">
        <f ca="1">IF(E28="","",INDEX('6. Role Evaluation'!$B$5:$G$104,MATCH(E28,Role,0),2))</f>
        <v/>
      </c>
      <c r="I28" s="15" t="str">
        <f ca="1">IF(E28="","",INDEX('6. Role Evaluation'!$B$5:$G$104,MATCH(E28,Role,0),3))</f>
        <v/>
      </c>
      <c r="J28" s="15" t="str">
        <f ca="1">IF(E28="","",INDEX('6. Role Evaluation'!$B$5:$G$104,MATCH(E28,Role,0),4))</f>
        <v/>
      </c>
      <c r="K28" s="15" t="str">
        <f ca="1">IF(E28="","",INDEX('6. Role Evaluation'!$B$5:$G$104,MATCH(E28,Role,0),6))</f>
        <v/>
      </c>
      <c r="L28" s="15" t="str">
        <f ca="1">IF(K28='Hidden-Menus'!$E$3,1,IF(K28='Hidden-Menus'!$E$5,-1,IF(K28='Hidden-Menus'!$E$4,0,"")))</f>
        <v/>
      </c>
      <c r="M28" s="15" t="str">
        <f ca="1">IF(E28="","",INDEX('6. Role Evaluation'!$B$5:$G$104,MATCH(E28,Role,0),5))</f>
        <v/>
      </c>
      <c r="N28" s="15">
        <f ca="1">IF(M28='Hidden-Menus'!$F$3,1,IF(M28='Hidden-Menus'!$F$5,-1,0))</f>
        <v>0</v>
      </c>
      <c r="O28" s="15" t="str">
        <f ca="1">IF('7. Demand &amp; Supply Forecast'!B35="","",F28+F28*'7. Demand &amp; Supply Forecast'!F35)</f>
        <v/>
      </c>
      <c r="P28" s="15" t="str">
        <f ca="1">IF('7. Demand &amp; Supply Forecast'!B35="","",O28+O28*'7. Demand &amp; Supply Forecast'!F35)</f>
        <v/>
      </c>
      <c r="Q28" s="15" t="str">
        <f ca="1">IF('7. Demand &amp; Supply Forecast'!B35="","",P28+P28*'7. Demand &amp; Supply Forecast'!F35)</f>
        <v/>
      </c>
      <c r="R28" s="15" t="str">
        <f ca="1">IF($E28="","",MROUND(O28*'7. Demand &amp; Supply Forecast'!K35,1000))</f>
        <v/>
      </c>
      <c r="S28" s="15" t="str">
        <f ca="1">IF($E28="","",MROUND(P28*'7. Demand &amp; Supply Forecast'!L35,1000))</f>
        <v/>
      </c>
      <c r="T28" s="15" t="str">
        <f ca="1">IF($E28="","",MROUND(Q28*'7. Demand &amp; Supply Forecast'!M35,1000))</f>
        <v/>
      </c>
      <c r="U28" s="15" t="str">
        <f ca="1">IF(E28="","",'7. Demand &amp; Supply Forecast'!Q35-'7. Demand &amp; Supply Forecast'!K35)</f>
        <v/>
      </c>
      <c r="V28" s="15" t="str">
        <f ca="1">IF(E28="","",'7. Demand &amp; Supply Forecast'!R35-'7. Demand &amp; Supply Forecast'!L35)</f>
        <v/>
      </c>
      <c r="W28" s="15" t="str">
        <f ca="1">IF(E28="","",'7. Demand &amp; Supply Forecast'!S35-'7. Demand &amp; Supply Forecast'!M35)</f>
        <v/>
      </c>
    </row>
    <row r="29" spans="2:23" x14ac:dyDescent="0.2">
      <c r="B29" s="15" t="str">
        <f>IF('3. Setup &amp; Role Data'!G35="","",'3. Setup &amp; Role Data'!G35)</f>
        <v/>
      </c>
      <c r="C29" s="15" t="str">
        <f>IF('6. Role Evaluation'!H31="","No",'6. Role Evaluation'!H31)</f>
        <v>No</v>
      </c>
      <c r="D29" s="15" t="str">
        <f t="shared" si="0"/>
        <v/>
      </c>
      <c r="E29" s="15" t="str">
        <f t="array" aca="1" ref="E29" ca="1">IFERROR(INDEX(Include,SMALL((IF(LEN(Include),ROW(INDIRECT("1:"&amp;ROWS(Include))))),ROW(B27)),1),"")</f>
        <v/>
      </c>
      <c r="F29" s="15" t="str">
        <f ca="1">IF(E29="","",INDEX('3. Setup &amp; Role Data'!$G$9:$I$109,MATCH(E29,Role,0),2))</f>
        <v/>
      </c>
      <c r="G29" s="15" t="str">
        <f ca="1">IF(E29="","",INDEX('3. Setup &amp; Role Data'!$G$9:$I$109,MATCH(E29,Role,0),3))</f>
        <v/>
      </c>
      <c r="H29" s="15" t="str">
        <f ca="1">IF(E29="","",INDEX('6. Role Evaluation'!$B$5:$G$104,MATCH(E29,Role,0),2))</f>
        <v/>
      </c>
      <c r="I29" s="15" t="str">
        <f ca="1">IF(E29="","",INDEX('6. Role Evaluation'!$B$5:$G$104,MATCH(E29,Role,0),3))</f>
        <v/>
      </c>
      <c r="J29" s="15" t="str">
        <f ca="1">IF(E29="","",INDEX('6. Role Evaluation'!$B$5:$G$104,MATCH(E29,Role,0),4))</f>
        <v/>
      </c>
      <c r="K29" s="15" t="str">
        <f ca="1">IF(E29="","",INDEX('6. Role Evaluation'!$B$5:$G$104,MATCH(E29,Role,0),6))</f>
        <v/>
      </c>
      <c r="L29" s="15" t="str">
        <f ca="1">IF(K29='Hidden-Menus'!$E$3,1,IF(K29='Hidden-Menus'!$E$5,-1,IF(K29='Hidden-Menus'!$E$4,0,"")))</f>
        <v/>
      </c>
      <c r="M29" s="15" t="str">
        <f ca="1">IF(E29="","",INDEX('6. Role Evaluation'!$B$5:$G$104,MATCH(E29,Role,0),5))</f>
        <v/>
      </c>
      <c r="N29" s="15">
        <f ca="1">IF(M29='Hidden-Menus'!$F$3,1,IF(M29='Hidden-Menus'!$F$5,-1,0))</f>
        <v>0</v>
      </c>
      <c r="O29" s="15" t="str">
        <f ca="1">IF('7. Demand &amp; Supply Forecast'!B36="","",F29+F29*'7. Demand &amp; Supply Forecast'!F36)</f>
        <v/>
      </c>
      <c r="P29" s="15" t="str">
        <f ca="1">IF('7. Demand &amp; Supply Forecast'!B36="","",O29+O29*'7. Demand &amp; Supply Forecast'!F36)</f>
        <v/>
      </c>
      <c r="Q29" s="15" t="str">
        <f ca="1">IF('7. Demand &amp; Supply Forecast'!B36="","",P29+P29*'7. Demand &amp; Supply Forecast'!F36)</f>
        <v/>
      </c>
      <c r="R29" s="15" t="str">
        <f ca="1">IF($E29="","",MROUND(O29*'7. Demand &amp; Supply Forecast'!K36,1000))</f>
        <v/>
      </c>
      <c r="S29" s="15" t="str">
        <f ca="1">IF($E29="","",MROUND(P29*'7. Demand &amp; Supply Forecast'!L36,1000))</f>
        <v/>
      </c>
      <c r="T29" s="15" t="str">
        <f ca="1">IF($E29="","",MROUND(Q29*'7. Demand &amp; Supply Forecast'!M36,1000))</f>
        <v/>
      </c>
      <c r="U29" s="15" t="str">
        <f ca="1">IF(E29="","",'7. Demand &amp; Supply Forecast'!Q36-'7. Demand &amp; Supply Forecast'!K36)</f>
        <v/>
      </c>
      <c r="V29" s="15" t="str">
        <f ca="1">IF(E29="","",'7. Demand &amp; Supply Forecast'!R36-'7. Demand &amp; Supply Forecast'!L36)</f>
        <v/>
      </c>
      <c r="W29" s="15" t="str">
        <f ca="1">IF(E29="","",'7. Demand &amp; Supply Forecast'!S36-'7. Demand &amp; Supply Forecast'!M36)</f>
        <v/>
      </c>
    </row>
    <row r="30" spans="2:23" x14ac:dyDescent="0.2">
      <c r="B30" s="15" t="str">
        <f>IF('3. Setup &amp; Role Data'!G36="","",'3. Setup &amp; Role Data'!G36)</f>
        <v/>
      </c>
      <c r="C30" s="15" t="str">
        <f>IF('6. Role Evaluation'!H32="","No",'6. Role Evaluation'!H32)</f>
        <v>No</v>
      </c>
      <c r="D30" s="15" t="str">
        <f t="shared" si="0"/>
        <v/>
      </c>
      <c r="E30" s="15" t="str">
        <f t="array" aca="1" ref="E30" ca="1">IFERROR(INDEX(Include,SMALL((IF(LEN(Include),ROW(INDIRECT("1:"&amp;ROWS(Include))))),ROW(B28)),1),"")</f>
        <v/>
      </c>
      <c r="F30" s="15" t="str">
        <f ca="1">IF(E30="","",INDEX('3. Setup &amp; Role Data'!$G$9:$I$109,MATCH(E30,Role,0),2))</f>
        <v/>
      </c>
      <c r="G30" s="15" t="str">
        <f ca="1">IF(E30="","",INDEX('3. Setup &amp; Role Data'!$G$9:$I$109,MATCH(E30,Role,0),3))</f>
        <v/>
      </c>
      <c r="H30" s="15" t="str">
        <f ca="1">IF(E30="","",INDEX('6. Role Evaluation'!$B$5:$G$104,MATCH(E30,Role,0),2))</f>
        <v/>
      </c>
      <c r="I30" s="15" t="str">
        <f ca="1">IF(E30="","",INDEX('6. Role Evaluation'!$B$5:$G$104,MATCH(E30,Role,0),3))</f>
        <v/>
      </c>
      <c r="J30" s="15" t="str">
        <f ca="1">IF(E30="","",INDEX('6. Role Evaluation'!$B$5:$G$104,MATCH(E30,Role,0),4))</f>
        <v/>
      </c>
      <c r="K30" s="15" t="str">
        <f ca="1">IF(E30="","",INDEX('6. Role Evaluation'!$B$5:$G$104,MATCH(E30,Role,0),6))</f>
        <v/>
      </c>
      <c r="L30" s="15" t="str">
        <f ca="1">IF(K30='Hidden-Menus'!$E$3,1,IF(K30='Hidden-Menus'!$E$5,-1,IF(K30='Hidden-Menus'!$E$4,0,"")))</f>
        <v/>
      </c>
      <c r="M30" s="15" t="str">
        <f ca="1">IF(E30="","",INDEX('6. Role Evaluation'!$B$5:$G$104,MATCH(E30,Role,0),5))</f>
        <v/>
      </c>
      <c r="N30" s="15">
        <f ca="1">IF(M30='Hidden-Menus'!$F$3,1,IF(M30='Hidden-Menus'!$F$5,-1,0))</f>
        <v>0</v>
      </c>
      <c r="O30" s="15" t="str">
        <f ca="1">IF('7. Demand &amp; Supply Forecast'!B37="","",F30+F30*'7. Demand &amp; Supply Forecast'!F37)</f>
        <v/>
      </c>
      <c r="P30" s="15" t="str">
        <f ca="1">IF('7. Demand &amp; Supply Forecast'!B37="","",O30+O30*'7. Demand &amp; Supply Forecast'!F37)</f>
        <v/>
      </c>
      <c r="Q30" s="15" t="str">
        <f ca="1">IF('7. Demand &amp; Supply Forecast'!B37="","",P30+P30*'7. Demand &amp; Supply Forecast'!F37)</f>
        <v/>
      </c>
      <c r="R30" s="15" t="str">
        <f ca="1">IF($E30="","",MROUND(O30*'7. Demand &amp; Supply Forecast'!K37,1000))</f>
        <v/>
      </c>
      <c r="S30" s="15" t="str">
        <f ca="1">IF($E30="","",MROUND(P30*'7. Demand &amp; Supply Forecast'!L37,1000))</f>
        <v/>
      </c>
      <c r="T30" s="15" t="str">
        <f ca="1">IF($E30="","",MROUND(Q30*'7. Demand &amp; Supply Forecast'!M37,1000))</f>
        <v/>
      </c>
      <c r="U30" s="15" t="str">
        <f ca="1">IF(E30="","",'7. Demand &amp; Supply Forecast'!Q37-'7. Demand &amp; Supply Forecast'!K37)</f>
        <v/>
      </c>
      <c r="V30" s="15" t="str">
        <f ca="1">IF(E30="","",'7. Demand &amp; Supply Forecast'!R37-'7. Demand &amp; Supply Forecast'!L37)</f>
        <v/>
      </c>
      <c r="W30" s="15" t="str">
        <f ca="1">IF(E30="","",'7. Demand &amp; Supply Forecast'!S37-'7. Demand &amp; Supply Forecast'!M37)</f>
        <v/>
      </c>
    </row>
    <row r="31" spans="2:23" x14ac:dyDescent="0.2">
      <c r="B31" s="15" t="str">
        <f>IF('3. Setup &amp; Role Data'!G37="","",'3. Setup &amp; Role Data'!G37)</f>
        <v/>
      </c>
      <c r="C31" s="15" t="str">
        <f>IF('6. Role Evaluation'!H33="","No",'6. Role Evaluation'!H33)</f>
        <v>No</v>
      </c>
      <c r="D31" s="15" t="str">
        <f t="shared" si="0"/>
        <v/>
      </c>
      <c r="E31" s="15" t="str">
        <f t="array" aca="1" ref="E31" ca="1">IFERROR(INDEX(Include,SMALL((IF(LEN(Include),ROW(INDIRECT("1:"&amp;ROWS(Include))))),ROW(B29)),1),"")</f>
        <v/>
      </c>
      <c r="F31" s="15" t="str">
        <f ca="1">IF(E31="","",INDEX('3. Setup &amp; Role Data'!$G$9:$I$109,MATCH(E31,Role,0),2))</f>
        <v/>
      </c>
      <c r="G31" s="15" t="str">
        <f ca="1">IF(E31="","",INDEX('3. Setup &amp; Role Data'!$G$9:$I$109,MATCH(E31,Role,0),3))</f>
        <v/>
      </c>
      <c r="H31" s="15" t="str">
        <f ca="1">IF(E31="","",INDEX('6. Role Evaluation'!$B$5:$G$104,MATCH(E31,Role,0),2))</f>
        <v/>
      </c>
      <c r="I31" s="15" t="str">
        <f ca="1">IF(E31="","",INDEX('6. Role Evaluation'!$B$5:$G$104,MATCH(E31,Role,0),3))</f>
        <v/>
      </c>
      <c r="J31" s="15" t="str">
        <f ca="1">IF(E31="","",INDEX('6. Role Evaluation'!$B$5:$G$104,MATCH(E31,Role,0),4))</f>
        <v/>
      </c>
      <c r="K31" s="15" t="str">
        <f ca="1">IF(E31="","",INDEX('6. Role Evaluation'!$B$5:$G$104,MATCH(E31,Role,0),6))</f>
        <v/>
      </c>
      <c r="L31" s="15" t="str">
        <f ca="1">IF(K31='Hidden-Menus'!$E$3,1,IF(K31='Hidden-Menus'!$E$5,-1,IF(K31='Hidden-Menus'!$E$4,0,"")))</f>
        <v/>
      </c>
      <c r="M31" s="15" t="str">
        <f ca="1">IF(E31="","",INDEX('6. Role Evaluation'!$B$5:$G$104,MATCH(E31,Role,0),5))</f>
        <v/>
      </c>
      <c r="N31" s="15">
        <f ca="1">IF(M31='Hidden-Menus'!$F$3,1,IF(M31='Hidden-Menus'!$F$5,-1,0))</f>
        <v>0</v>
      </c>
      <c r="O31" s="15" t="str">
        <f ca="1">IF('7. Demand &amp; Supply Forecast'!B38="","",F31+F31*'7. Demand &amp; Supply Forecast'!F38)</f>
        <v/>
      </c>
      <c r="P31" s="15" t="str">
        <f ca="1">IF('7. Demand &amp; Supply Forecast'!B38="","",O31+O31*'7. Demand &amp; Supply Forecast'!F38)</f>
        <v/>
      </c>
      <c r="Q31" s="15" t="str">
        <f ca="1">IF('7. Demand &amp; Supply Forecast'!B38="","",P31+P31*'7. Demand &amp; Supply Forecast'!F38)</f>
        <v/>
      </c>
      <c r="R31" s="15" t="str">
        <f ca="1">IF($E31="","",MROUND(O31*'7. Demand &amp; Supply Forecast'!K38,1000))</f>
        <v/>
      </c>
      <c r="S31" s="15" t="str">
        <f ca="1">IF($E31="","",MROUND(P31*'7. Demand &amp; Supply Forecast'!L38,1000))</f>
        <v/>
      </c>
      <c r="T31" s="15" t="str">
        <f ca="1">IF($E31="","",MROUND(Q31*'7. Demand &amp; Supply Forecast'!M38,1000))</f>
        <v/>
      </c>
      <c r="U31" s="15" t="str">
        <f ca="1">IF(E31="","",'7. Demand &amp; Supply Forecast'!Q38-'7. Demand &amp; Supply Forecast'!K38)</f>
        <v/>
      </c>
      <c r="V31" s="15" t="str">
        <f ca="1">IF(E31="","",'7. Demand &amp; Supply Forecast'!R38-'7. Demand &amp; Supply Forecast'!L38)</f>
        <v/>
      </c>
      <c r="W31" s="15" t="str">
        <f ca="1">IF(E31="","",'7. Demand &amp; Supply Forecast'!S38-'7. Demand &amp; Supply Forecast'!M38)</f>
        <v/>
      </c>
    </row>
    <row r="32" spans="2:23" x14ac:dyDescent="0.2">
      <c r="B32" s="15" t="str">
        <f>IF('3. Setup &amp; Role Data'!G38="","",'3. Setup &amp; Role Data'!G38)</f>
        <v/>
      </c>
      <c r="C32" s="15" t="str">
        <f>IF('6. Role Evaluation'!H34="","No",'6. Role Evaluation'!H34)</f>
        <v>No</v>
      </c>
      <c r="D32" s="15" t="str">
        <f t="shared" si="0"/>
        <v/>
      </c>
      <c r="E32" s="15" t="str">
        <f t="array" aca="1" ref="E32" ca="1">IFERROR(INDEX(Include,SMALL((IF(LEN(Include),ROW(INDIRECT("1:"&amp;ROWS(Include))))),ROW(B30)),1),"")</f>
        <v/>
      </c>
      <c r="F32" s="15" t="str">
        <f ca="1">IF(E32="","",INDEX('3. Setup &amp; Role Data'!$G$9:$I$109,MATCH(E32,Role,0),2))</f>
        <v/>
      </c>
      <c r="G32" s="15" t="str">
        <f ca="1">IF(E32="","",INDEX('3. Setup &amp; Role Data'!$G$9:$I$109,MATCH(E32,Role,0),3))</f>
        <v/>
      </c>
      <c r="H32" s="15" t="str">
        <f ca="1">IF(E32="","",INDEX('6. Role Evaluation'!$B$5:$G$104,MATCH(E32,Role,0),2))</f>
        <v/>
      </c>
      <c r="I32" s="15" t="str">
        <f ca="1">IF(E32="","",INDEX('6. Role Evaluation'!$B$5:$G$104,MATCH(E32,Role,0),3))</f>
        <v/>
      </c>
      <c r="J32" s="15" t="str">
        <f ca="1">IF(E32="","",INDEX('6. Role Evaluation'!$B$5:$G$104,MATCH(E32,Role,0),4))</f>
        <v/>
      </c>
      <c r="K32" s="15" t="str">
        <f ca="1">IF(E32="","",INDEX('6. Role Evaluation'!$B$5:$G$104,MATCH(E32,Role,0),6))</f>
        <v/>
      </c>
      <c r="L32" s="15" t="str">
        <f ca="1">IF(K32='Hidden-Menus'!$E$3,1,IF(K32='Hidden-Menus'!$E$5,-1,IF(K32='Hidden-Menus'!$E$4,0,"")))</f>
        <v/>
      </c>
      <c r="M32" s="15" t="str">
        <f ca="1">IF(E32="","",INDEX('6. Role Evaluation'!$B$5:$G$104,MATCH(E32,Role,0),5))</f>
        <v/>
      </c>
      <c r="N32" s="15">
        <f ca="1">IF(M32='Hidden-Menus'!$F$3,1,IF(M32='Hidden-Menus'!$F$5,-1,0))</f>
        <v>0</v>
      </c>
      <c r="O32" s="15" t="str">
        <f ca="1">IF('7. Demand &amp; Supply Forecast'!B39="","",F32+F32*'7. Demand &amp; Supply Forecast'!F39)</f>
        <v/>
      </c>
      <c r="P32" s="15" t="str">
        <f ca="1">IF('7. Demand &amp; Supply Forecast'!B39="","",O32+O32*'7. Demand &amp; Supply Forecast'!F39)</f>
        <v/>
      </c>
      <c r="Q32" s="15" t="str">
        <f ca="1">IF('7. Demand &amp; Supply Forecast'!B39="","",P32+P32*'7. Demand &amp; Supply Forecast'!F39)</f>
        <v/>
      </c>
      <c r="R32" s="15" t="str">
        <f ca="1">IF($E32="","",MROUND(O32*'7. Demand &amp; Supply Forecast'!K39,1000))</f>
        <v/>
      </c>
      <c r="S32" s="15" t="str">
        <f ca="1">IF($E32="","",MROUND(P32*'7. Demand &amp; Supply Forecast'!L39,1000))</f>
        <v/>
      </c>
      <c r="T32" s="15" t="str">
        <f ca="1">IF($E32="","",MROUND(Q32*'7. Demand &amp; Supply Forecast'!M39,1000))</f>
        <v/>
      </c>
      <c r="U32" s="15" t="str">
        <f ca="1">IF(E32="","",'7. Demand &amp; Supply Forecast'!Q39-'7. Demand &amp; Supply Forecast'!K39)</f>
        <v/>
      </c>
      <c r="V32" s="15" t="str">
        <f ca="1">IF(E32="","",'7. Demand &amp; Supply Forecast'!R39-'7. Demand &amp; Supply Forecast'!L39)</f>
        <v/>
      </c>
      <c r="W32" s="15" t="str">
        <f ca="1">IF(E32="","",'7. Demand &amp; Supply Forecast'!S39-'7. Demand &amp; Supply Forecast'!M39)</f>
        <v/>
      </c>
    </row>
    <row r="33" spans="2:23" x14ac:dyDescent="0.2">
      <c r="B33" s="15" t="str">
        <f>IF('3. Setup &amp; Role Data'!G39="","",'3. Setup &amp; Role Data'!G39)</f>
        <v/>
      </c>
      <c r="C33" s="15" t="str">
        <f>IF('6. Role Evaluation'!H35="","No",'6. Role Evaluation'!H35)</f>
        <v>No</v>
      </c>
      <c r="D33" s="15" t="str">
        <f t="shared" si="0"/>
        <v/>
      </c>
      <c r="E33" s="15" t="str">
        <f t="array" aca="1" ref="E33" ca="1">IFERROR(INDEX(Include,SMALL((IF(LEN(Include),ROW(INDIRECT("1:"&amp;ROWS(Include))))),ROW(B31)),1),"")</f>
        <v/>
      </c>
      <c r="F33" s="15" t="str">
        <f ca="1">IF(E33="","",INDEX('3. Setup &amp; Role Data'!$G$9:$I$109,MATCH(E33,Role,0),2))</f>
        <v/>
      </c>
      <c r="G33" s="15" t="str">
        <f ca="1">IF(E33="","",INDEX('3. Setup &amp; Role Data'!$G$9:$I$109,MATCH(E33,Role,0),3))</f>
        <v/>
      </c>
      <c r="H33" s="15" t="str">
        <f ca="1">IF(E33="","",INDEX('6. Role Evaluation'!$B$5:$G$104,MATCH(E33,Role,0),2))</f>
        <v/>
      </c>
      <c r="I33" s="15" t="str">
        <f ca="1">IF(E33="","",INDEX('6. Role Evaluation'!$B$5:$G$104,MATCH(E33,Role,0),3))</f>
        <v/>
      </c>
      <c r="J33" s="15" t="str">
        <f ca="1">IF(E33="","",INDEX('6. Role Evaluation'!$B$5:$G$104,MATCH(E33,Role,0),4))</f>
        <v/>
      </c>
      <c r="K33" s="15" t="str">
        <f ca="1">IF(E33="","",INDEX('6. Role Evaluation'!$B$5:$G$104,MATCH(E33,Role,0),6))</f>
        <v/>
      </c>
      <c r="L33" s="15" t="str">
        <f ca="1">IF(K33='Hidden-Menus'!$E$3,1,IF(K33='Hidden-Menus'!$E$5,-1,IF(K33='Hidden-Menus'!$E$4,0,"")))</f>
        <v/>
      </c>
      <c r="M33" s="15" t="str">
        <f ca="1">IF(E33="","",INDEX('6. Role Evaluation'!$B$5:$G$104,MATCH(E33,Role,0),5))</f>
        <v/>
      </c>
      <c r="N33" s="15">
        <f ca="1">IF(M33='Hidden-Menus'!$F$3,1,IF(M33='Hidden-Menus'!$F$5,-1,0))</f>
        <v>0</v>
      </c>
      <c r="O33" s="15" t="str">
        <f ca="1">IF('7. Demand &amp; Supply Forecast'!B40="","",F33+F33*'7. Demand &amp; Supply Forecast'!F40)</f>
        <v/>
      </c>
      <c r="P33" s="15" t="str">
        <f ca="1">IF('7. Demand &amp; Supply Forecast'!B40="","",O33+O33*'7. Demand &amp; Supply Forecast'!F40)</f>
        <v/>
      </c>
      <c r="Q33" s="15" t="str">
        <f ca="1">IF('7. Demand &amp; Supply Forecast'!B40="","",P33+P33*'7. Demand &amp; Supply Forecast'!F40)</f>
        <v/>
      </c>
      <c r="R33" s="15" t="str">
        <f ca="1">IF($E33="","",MROUND(O33*'7. Demand &amp; Supply Forecast'!K40,1000))</f>
        <v/>
      </c>
      <c r="S33" s="15" t="str">
        <f ca="1">IF($E33="","",MROUND(P33*'7. Demand &amp; Supply Forecast'!L40,1000))</f>
        <v/>
      </c>
      <c r="T33" s="15" t="str">
        <f ca="1">IF($E33="","",MROUND(Q33*'7. Demand &amp; Supply Forecast'!M40,1000))</f>
        <v/>
      </c>
      <c r="U33" s="15" t="str">
        <f ca="1">IF(E33="","",'7. Demand &amp; Supply Forecast'!Q40-'7. Demand &amp; Supply Forecast'!K40)</f>
        <v/>
      </c>
      <c r="V33" s="15" t="str">
        <f ca="1">IF(E33="","",'7. Demand &amp; Supply Forecast'!R40-'7. Demand &amp; Supply Forecast'!L40)</f>
        <v/>
      </c>
      <c r="W33" s="15" t="str">
        <f ca="1">IF(E33="","",'7. Demand &amp; Supply Forecast'!S40-'7. Demand &amp; Supply Forecast'!M40)</f>
        <v/>
      </c>
    </row>
    <row r="34" spans="2:23" x14ac:dyDescent="0.2">
      <c r="B34" s="15" t="str">
        <f>IF('3. Setup &amp; Role Data'!G40="","",'3. Setup &amp; Role Data'!G40)</f>
        <v/>
      </c>
      <c r="C34" s="15" t="str">
        <f>IF('6. Role Evaluation'!H36="","No",'6. Role Evaluation'!H36)</f>
        <v>No</v>
      </c>
      <c r="D34" s="15" t="str">
        <f t="shared" si="0"/>
        <v/>
      </c>
      <c r="E34" s="15" t="str">
        <f t="array" aca="1" ref="E34" ca="1">IFERROR(INDEX(Include,SMALL((IF(LEN(Include),ROW(INDIRECT("1:"&amp;ROWS(Include))))),ROW(B32)),1),"")</f>
        <v/>
      </c>
      <c r="F34" s="15" t="str">
        <f ca="1">IF(E34="","",INDEX('3. Setup &amp; Role Data'!$G$9:$I$109,MATCH(E34,Role,0),2))</f>
        <v/>
      </c>
      <c r="G34" s="15" t="str">
        <f ca="1">IF(E34="","",INDEX('3. Setup &amp; Role Data'!$G$9:$I$109,MATCH(E34,Role,0),3))</f>
        <v/>
      </c>
      <c r="H34" s="15" t="str">
        <f ca="1">IF(E34="","",INDEX('6. Role Evaluation'!$B$5:$G$104,MATCH(E34,Role,0),2))</f>
        <v/>
      </c>
      <c r="I34" s="15" t="str">
        <f ca="1">IF(E34="","",INDEX('6. Role Evaluation'!$B$5:$G$104,MATCH(E34,Role,0),3))</f>
        <v/>
      </c>
      <c r="J34" s="15" t="str">
        <f ca="1">IF(E34="","",INDEX('6. Role Evaluation'!$B$5:$G$104,MATCH(E34,Role,0),4))</f>
        <v/>
      </c>
      <c r="K34" s="15" t="str">
        <f ca="1">IF(E34="","",INDEX('6. Role Evaluation'!$B$5:$G$104,MATCH(E34,Role,0),6))</f>
        <v/>
      </c>
      <c r="L34" s="15" t="str">
        <f ca="1">IF(K34='Hidden-Menus'!$E$3,1,IF(K34='Hidden-Menus'!$E$5,-1,IF(K34='Hidden-Menus'!$E$4,0,"")))</f>
        <v/>
      </c>
      <c r="M34" s="15" t="str">
        <f ca="1">IF(E34="","",INDEX('6. Role Evaluation'!$B$5:$G$104,MATCH(E34,Role,0),5))</f>
        <v/>
      </c>
      <c r="N34" s="15">
        <f ca="1">IF(M34='Hidden-Menus'!$F$3,1,IF(M34='Hidden-Menus'!$F$5,-1,0))</f>
        <v>0</v>
      </c>
      <c r="O34" s="15" t="str">
        <f ca="1">IF('7. Demand &amp; Supply Forecast'!B41="","",F34+F34*'7. Demand &amp; Supply Forecast'!F41)</f>
        <v/>
      </c>
      <c r="P34" s="15" t="str">
        <f ca="1">IF('7. Demand &amp; Supply Forecast'!B41="","",O34+O34*'7. Demand &amp; Supply Forecast'!F41)</f>
        <v/>
      </c>
      <c r="Q34" s="15" t="str">
        <f ca="1">IF('7. Demand &amp; Supply Forecast'!B41="","",P34+P34*'7. Demand &amp; Supply Forecast'!F41)</f>
        <v/>
      </c>
      <c r="R34" s="15" t="str">
        <f ca="1">IF($E34="","",MROUND(O34*'7. Demand &amp; Supply Forecast'!K41,1000))</f>
        <v/>
      </c>
      <c r="S34" s="15" t="str">
        <f ca="1">IF($E34="","",MROUND(P34*'7. Demand &amp; Supply Forecast'!L41,1000))</f>
        <v/>
      </c>
      <c r="T34" s="15" t="str">
        <f ca="1">IF($E34="","",MROUND(Q34*'7. Demand &amp; Supply Forecast'!M41,1000))</f>
        <v/>
      </c>
      <c r="U34" s="15" t="str">
        <f ca="1">IF(E34="","",'7. Demand &amp; Supply Forecast'!Q41-'7. Demand &amp; Supply Forecast'!K41)</f>
        <v/>
      </c>
      <c r="V34" s="15" t="str">
        <f ca="1">IF(E34="","",'7. Demand &amp; Supply Forecast'!R41-'7. Demand &amp; Supply Forecast'!L41)</f>
        <v/>
      </c>
      <c r="W34" s="15" t="str">
        <f ca="1">IF(E34="","",'7. Demand &amp; Supply Forecast'!S41-'7. Demand &amp; Supply Forecast'!M41)</f>
        <v/>
      </c>
    </row>
    <row r="35" spans="2:23" x14ac:dyDescent="0.2">
      <c r="B35" s="15" t="str">
        <f>IF('3. Setup &amp; Role Data'!G41="","",'3. Setup &amp; Role Data'!G41)</f>
        <v/>
      </c>
      <c r="C35" s="15" t="str">
        <f>IF('6. Role Evaluation'!H37="","No",'6. Role Evaluation'!H37)</f>
        <v>No</v>
      </c>
      <c r="D35" s="15" t="str">
        <f t="shared" si="0"/>
        <v/>
      </c>
      <c r="E35" s="15" t="str">
        <f t="array" aca="1" ref="E35" ca="1">IFERROR(INDEX(Include,SMALL((IF(LEN(Include),ROW(INDIRECT("1:"&amp;ROWS(Include))))),ROW(B33)),1),"")</f>
        <v/>
      </c>
      <c r="F35" s="15" t="str">
        <f ca="1">IF(E35="","",INDEX('3. Setup &amp; Role Data'!$G$9:$I$109,MATCH(E35,Role,0),2))</f>
        <v/>
      </c>
      <c r="G35" s="15" t="str">
        <f ca="1">IF(E35="","",INDEX('3. Setup &amp; Role Data'!$G$9:$I$109,MATCH(E35,Role,0),3))</f>
        <v/>
      </c>
      <c r="H35" s="15" t="str">
        <f ca="1">IF(E35="","",INDEX('6. Role Evaluation'!$B$5:$G$104,MATCH(E35,Role,0),2))</f>
        <v/>
      </c>
      <c r="I35" s="15" t="str">
        <f ca="1">IF(E35="","",INDEX('6. Role Evaluation'!$B$5:$G$104,MATCH(E35,Role,0),3))</f>
        <v/>
      </c>
      <c r="J35" s="15" t="str">
        <f ca="1">IF(E35="","",INDEX('6. Role Evaluation'!$B$5:$G$104,MATCH(E35,Role,0),4))</f>
        <v/>
      </c>
      <c r="K35" s="15" t="str">
        <f ca="1">IF(E35="","",INDEX('6. Role Evaluation'!$B$5:$G$104,MATCH(E35,Role,0),6))</f>
        <v/>
      </c>
      <c r="L35" s="15" t="str">
        <f ca="1">IF(K35='Hidden-Menus'!$E$3,1,IF(K35='Hidden-Menus'!$E$5,-1,IF(K35='Hidden-Menus'!$E$4,0,"")))</f>
        <v/>
      </c>
      <c r="M35" s="15" t="str">
        <f ca="1">IF(E35="","",INDEX('6. Role Evaluation'!$B$5:$G$104,MATCH(E35,Role,0),5))</f>
        <v/>
      </c>
      <c r="N35" s="15">
        <f ca="1">IF(M35='Hidden-Menus'!$F$3,1,IF(M35='Hidden-Menus'!$F$5,-1,0))</f>
        <v>0</v>
      </c>
      <c r="O35" s="15" t="str">
        <f ca="1">IF('7. Demand &amp; Supply Forecast'!B42="","",F35+F35*'7. Demand &amp; Supply Forecast'!F42)</f>
        <v/>
      </c>
      <c r="P35" s="15" t="str">
        <f ca="1">IF('7. Demand &amp; Supply Forecast'!B42="","",O35+O35*'7. Demand &amp; Supply Forecast'!F42)</f>
        <v/>
      </c>
      <c r="Q35" s="15" t="str">
        <f ca="1">IF('7. Demand &amp; Supply Forecast'!B42="","",P35+P35*'7. Demand &amp; Supply Forecast'!F42)</f>
        <v/>
      </c>
      <c r="R35" s="15" t="str">
        <f ca="1">IF($E35="","",MROUND(O35*'7. Demand &amp; Supply Forecast'!K42,1000))</f>
        <v/>
      </c>
      <c r="S35" s="15" t="str">
        <f ca="1">IF($E35="","",MROUND(P35*'7. Demand &amp; Supply Forecast'!L42,1000))</f>
        <v/>
      </c>
      <c r="T35" s="15" t="str">
        <f ca="1">IF($E35="","",MROUND(Q35*'7. Demand &amp; Supply Forecast'!M42,1000))</f>
        <v/>
      </c>
      <c r="U35" s="15" t="str">
        <f ca="1">IF(E35="","",'7. Demand &amp; Supply Forecast'!Q42-'7. Demand &amp; Supply Forecast'!K42)</f>
        <v/>
      </c>
      <c r="V35" s="15" t="str">
        <f ca="1">IF(E35="","",'7. Demand &amp; Supply Forecast'!R42-'7. Demand &amp; Supply Forecast'!L42)</f>
        <v/>
      </c>
      <c r="W35" s="15" t="str">
        <f ca="1">IF(E35="","",'7. Demand &amp; Supply Forecast'!S42-'7. Demand &amp; Supply Forecast'!M42)</f>
        <v/>
      </c>
    </row>
    <row r="36" spans="2:23" x14ac:dyDescent="0.2">
      <c r="B36" s="15" t="str">
        <f>IF('3. Setup &amp; Role Data'!G42="","",'3. Setup &amp; Role Data'!G42)</f>
        <v/>
      </c>
      <c r="C36" s="15" t="str">
        <f>IF('6. Role Evaluation'!H38="","No",'6. Role Evaluation'!H38)</f>
        <v>No</v>
      </c>
      <c r="D36" s="15" t="str">
        <f t="shared" si="0"/>
        <v/>
      </c>
      <c r="E36" s="15" t="str">
        <f t="array" aca="1" ref="E36" ca="1">IFERROR(INDEX(Include,SMALL((IF(LEN(Include),ROW(INDIRECT("1:"&amp;ROWS(Include))))),ROW(B34)),1),"")</f>
        <v/>
      </c>
      <c r="F36" s="15" t="str">
        <f ca="1">IF(E36="","",INDEX('3. Setup &amp; Role Data'!$G$9:$I$109,MATCH(E36,Role,0),2))</f>
        <v/>
      </c>
      <c r="G36" s="15" t="str">
        <f ca="1">IF(E36="","",INDEX('3. Setup &amp; Role Data'!$G$9:$I$109,MATCH(E36,Role,0),3))</f>
        <v/>
      </c>
      <c r="H36" s="15" t="str">
        <f ca="1">IF(E36="","",INDEX('6. Role Evaluation'!$B$5:$G$104,MATCH(E36,Role,0),2))</f>
        <v/>
      </c>
      <c r="I36" s="15" t="str">
        <f ca="1">IF(E36="","",INDEX('6. Role Evaluation'!$B$5:$G$104,MATCH(E36,Role,0),3))</f>
        <v/>
      </c>
      <c r="J36" s="15" t="str">
        <f ca="1">IF(E36="","",INDEX('6. Role Evaluation'!$B$5:$G$104,MATCH(E36,Role,0),4))</f>
        <v/>
      </c>
      <c r="K36" s="15" t="str">
        <f ca="1">IF(E36="","",INDEX('6. Role Evaluation'!$B$5:$G$104,MATCH(E36,Role,0),6))</f>
        <v/>
      </c>
      <c r="L36" s="15" t="str">
        <f ca="1">IF(K36='Hidden-Menus'!$E$3,1,IF(K36='Hidden-Menus'!$E$5,-1,IF(K36='Hidden-Menus'!$E$4,0,"")))</f>
        <v/>
      </c>
      <c r="M36" s="15" t="str">
        <f ca="1">IF(E36="","",INDEX('6. Role Evaluation'!$B$5:$G$104,MATCH(E36,Role,0),5))</f>
        <v/>
      </c>
      <c r="N36" s="15">
        <f ca="1">IF(M36='Hidden-Menus'!$F$3,1,IF(M36='Hidden-Menus'!$F$5,-1,0))</f>
        <v>0</v>
      </c>
      <c r="O36" s="15" t="str">
        <f ca="1">IF('7. Demand &amp; Supply Forecast'!B43="","",F36+F36*'7. Demand &amp; Supply Forecast'!F43)</f>
        <v/>
      </c>
      <c r="P36" s="15" t="str">
        <f ca="1">IF('7. Demand &amp; Supply Forecast'!B43="","",O36+O36*'7. Demand &amp; Supply Forecast'!F43)</f>
        <v/>
      </c>
      <c r="Q36" s="15" t="str">
        <f ca="1">IF('7. Demand &amp; Supply Forecast'!B43="","",P36+P36*'7. Demand &amp; Supply Forecast'!F43)</f>
        <v/>
      </c>
      <c r="R36" s="15" t="str">
        <f ca="1">IF($E36="","",MROUND(O36*'7. Demand &amp; Supply Forecast'!K43,1000))</f>
        <v/>
      </c>
      <c r="S36" s="15" t="str">
        <f ca="1">IF($E36="","",MROUND(P36*'7. Demand &amp; Supply Forecast'!L43,1000))</f>
        <v/>
      </c>
      <c r="T36" s="15" t="str">
        <f ca="1">IF($E36="","",MROUND(Q36*'7. Demand &amp; Supply Forecast'!M43,1000))</f>
        <v/>
      </c>
      <c r="U36" s="15" t="str">
        <f ca="1">IF(E36="","",'7. Demand &amp; Supply Forecast'!Q43-'7. Demand &amp; Supply Forecast'!K43)</f>
        <v/>
      </c>
      <c r="V36" s="15" t="str">
        <f ca="1">IF(E36="","",'7. Demand &amp; Supply Forecast'!R43-'7. Demand &amp; Supply Forecast'!L43)</f>
        <v/>
      </c>
      <c r="W36" s="15" t="str">
        <f ca="1">IF(E36="","",'7. Demand &amp; Supply Forecast'!S43-'7. Demand &amp; Supply Forecast'!M43)</f>
        <v/>
      </c>
    </row>
    <row r="37" spans="2:23" x14ac:dyDescent="0.2">
      <c r="B37" s="15" t="str">
        <f>IF('3. Setup &amp; Role Data'!G43="","",'3. Setup &amp; Role Data'!G43)</f>
        <v/>
      </c>
      <c r="C37" s="15" t="str">
        <f>IF('6. Role Evaluation'!H39="","No",'6. Role Evaluation'!H39)</f>
        <v>No</v>
      </c>
      <c r="D37" s="15" t="str">
        <f t="shared" si="0"/>
        <v/>
      </c>
      <c r="E37" s="15" t="str">
        <f t="array" aca="1" ref="E37" ca="1">IFERROR(INDEX(Include,SMALL((IF(LEN(Include),ROW(INDIRECT("1:"&amp;ROWS(Include))))),ROW(B35)),1),"")</f>
        <v/>
      </c>
      <c r="F37" s="15" t="str">
        <f ca="1">IF(E37="","",INDEX('3. Setup &amp; Role Data'!$G$9:$I$109,MATCH(E37,Role,0),2))</f>
        <v/>
      </c>
      <c r="G37" s="15" t="str">
        <f ca="1">IF(E37="","",INDEX('3. Setup &amp; Role Data'!$G$9:$I$109,MATCH(E37,Role,0),3))</f>
        <v/>
      </c>
      <c r="H37" s="15" t="str">
        <f ca="1">IF(E37="","",INDEX('6. Role Evaluation'!$B$5:$G$104,MATCH(E37,Role,0),2))</f>
        <v/>
      </c>
      <c r="I37" s="15" t="str">
        <f ca="1">IF(E37="","",INDEX('6. Role Evaluation'!$B$5:$G$104,MATCH(E37,Role,0),3))</f>
        <v/>
      </c>
      <c r="J37" s="15" t="str">
        <f ca="1">IF(E37="","",INDEX('6. Role Evaluation'!$B$5:$G$104,MATCH(E37,Role,0),4))</f>
        <v/>
      </c>
      <c r="K37" s="15" t="str">
        <f ca="1">IF(E37="","",INDEX('6. Role Evaluation'!$B$5:$G$104,MATCH(E37,Role,0),6))</f>
        <v/>
      </c>
      <c r="L37" s="15" t="str">
        <f ca="1">IF(K37='Hidden-Menus'!$E$3,1,IF(K37='Hidden-Menus'!$E$5,-1,IF(K37='Hidden-Menus'!$E$4,0,"")))</f>
        <v/>
      </c>
      <c r="M37" s="15" t="str">
        <f ca="1">IF(E37="","",INDEX('6. Role Evaluation'!$B$5:$G$104,MATCH(E37,Role,0),5))</f>
        <v/>
      </c>
      <c r="N37" s="15">
        <f ca="1">IF(M37='Hidden-Menus'!$F$3,1,IF(M37='Hidden-Menus'!$F$5,-1,0))</f>
        <v>0</v>
      </c>
      <c r="O37" s="15" t="str">
        <f ca="1">IF('7. Demand &amp; Supply Forecast'!B44="","",F37+F37*'7. Demand &amp; Supply Forecast'!F44)</f>
        <v/>
      </c>
      <c r="P37" s="15" t="str">
        <f ca="1">IF('7. Demand &amp; Supply Forecast'!B44="","",O37+O37*'7. Demand &amp; Supply Forecast'!F44)</f>
        <v/>
      </c>
      <c r="Q37" s="15" t="str">
        <f ca="1">IF('7. Demand &amp; Supply Forecast'!B44="","",P37+P37*'7. Demand &amp; Supply Forecast'!F44)</f>
        <v/>
      </c>
      <c r="R37" s="15" t="str">
        <f ca="1">IF($E37="","",MROUND(O37*'7. Demand &amp; Supply Forecast'!K44,1000))</f>
        <v/>
      </c>
      <c r="S37" s="15" t="str">
        <f ca="1">IF($E37="","",MROUND(P37*'7. Demand &amp; Supply Forecast'!L44,1000))</f>
        <v/>
      </c>
      <c r="T37" s="15" t="str">
        <f ca="1">IF($E37="","",MROUND(Q37*'7. Demand &amp; Supply Forecast'!M44,1000))</f>
        <v/>
      </c>
      <c r="U37" s="15" t="str">
        <f ca="1">IF(E37="","",'7. Demand &amp; Supply Forecast'!Q44-'7. Demand &amp; Supply Forecast'!K44)</f>
        <v/>
      </c>
      <c r="V37" s="15" t="str">
        <f ca="1">IF(E37="","",'7. Demand &amp; Supply Forecast'!R44-'7. Demand &amp; Supply Forecast'!L44)</f>
        <v/>
      </c>
      <c r="W37" s="15" t="str">
        <f ca="1">IF(E37="","",'7. Demand &amp; Supply Forecast'!S44-'7. Demand &amp; Supply Forecast'!M44)</f>
        <v/>
      </c>
    </row>
    <row r="38" spans="2:23" x14ac:dyDescent="0.2">
      <c r="B38" s="15" t="str">
        <f>IF('3. Setup &amp; Role Data'!G44="","",'3. Setup &amp; Role Data'!G44)</f>
        <v/>
      </c>
      <c r="C38" s="15" t="str">
        <f>IF('6. Role Evaluation'!H40="","No",'6. Role Evaluation'!H40)</f>
        <v>No</v>
      </c>
      <c r="D38" s="15" t="str">
        <f t="shared" si="0"/>
        <v/>
      </c>
      <c r="E38" s="15" t="str">
        <f t="array" aca="1" ref="E38" ca="1">IFERROR(INDEX(Include,SMALL((IF(LEN(Include),ROW(INDIRECT("1:"&amp;ROWS(Include))))),ROW(B36)),1),"")</f>
        <v/>
      </c>
      <c r="F38" s="15" t="str">
        <f ca="1">IF(E38="","",INDEX('3. Setup &amp; Role Data'!$G$9:$I$109,MATCH(E38,Role,0),2))</f>
        <v/>
      </c>
      <c r="G38" s="15" t="str">
        <f ca="1">IF(E38="","",INDEX('3. Setup &amp; Role Data'!$G$9:$I$109,MATCH(E38,Role,0),3))</f>
        <v/>
      </c>
      <c r="H38" s="15" t="str">
        <f ca="1">IF(E38="","",INDEX('6. Role Evaluation'!$B$5:$G$104,MATCH(E38,Role,0),2))</f>
        <v/>
      </c>
      <c r="I38" s="15" t="str">
        <f ca="1">IF(E38="","",INDEX('6. Role Evaluation'!$B$5:$G$104,MATCH(E38,Role,0),3))</f>
        <v/>
      </c>
      <c r="J38" s="15" t="str">
        <f ca="1">IF(E38="","",INDEX('6. Role Evaluation'!$B$5:$G$104,MATCH(E38,Role,0),4))</f>
        <v/>
      </c>
      <c r="K38" s="15" t="str">
        <f ca="1">IF(E38="","",INDEX('6. Role Evaluation'!$B$5:$G$104,MATCH(E38,Role,0),6))</f>
        <v/>
      </c>
      <c r="L38" s="15" t="str">
        <f ca="1">IF(K38='Hidden-Menus'!$E$3,1,IF(K38='Hidden-Menus'!$E$5,-1,IF(K38='Hidden-Menus'!$E$4,0,"")))</f>
        <v/>
      </c>
      <c r="M38" s="15" t="str">
        <f ca="1">IF(E38="","",INDEX('6. Role Evaluation'!$B$5:$G$104,MATCH(E38,Role,0),5))</f>
        <v/>
      </c>
      <c r="N38" s="15">
        <f ca="1">IF(M38='Hidden-Menus'!$F$3,1,IF(M38='Hidden-Menus'!$F$5,-1,0))</f>
        <v>0</v>
      </c>
      <c r="O38" s="15" t="str">
        <f ca="1">IF('7. Demand &amp; Supply Forecast'!B45="","",F38+F38*'7. Demand &amp; Supply Forecast'!F45)</f>
        <v/>
      </c>
      <c r="P38" s="15" t="str">
        <f ca="1">IF('7. Demand &amp; Supply Forecast'!B45="","",O38+O38*'7. Demand &amp; Supply Forecast'!F45)</f>
        <v/>
      </c>
      <c r="Q38" s="15" t="str">
        <f ca="1">IF('7. Demand &amp; Supply Forecast'!B45="","",P38+P38*'7. Demand &amp; Supply Forecast'!F45)</f>
        <v/>
      </c>
      <c r="R38" s="15" t="str">
        <f ca="1">IF($E38="","",MROUND(O38*'7. Demand &amp; Supply Forecast'!K45,1000))</f>
        <v/>
      </c>
      <c r="S38" s="15" t="str">
        <f ca="1">IF($E38="","",MROUND(P38*'7. Demand &amp; Supply Forecast'!L45,1000))</f>
        <v/>
      </c>
      <c r="T38" s="15" t="str">
        <f ca="1">IF($E38="","",MROUND(Q38*'7. Demand &amp; Supply Forecast'!M45,1000))</f>
        <v/>
      </c>
      <c r="U38" s="15" t="str">
        <f ca="1">IF(E38="","",'7. Demand &amp; Supply Forecast'!Q45-'7. Demand &amp; Supply Forecast'!K45)</f>
        <v/>
      </c>
      <c r="V38" s="15" t="str">
        <f ca="1">IF(E38="","",'7. Demand &amp; Supply Forecast'!R45-'7. Demand &amp; Supply Forecast'!L45)</f>
        <v/>
      </c>
      <c r="W38" s="15" t="str">
        <f ca="1">IF(E38="","",'7. Demand &amp; Supply Forecast'!S45-'7. Demand &amp; Supply Forecast'!M45)</f>
        <v/>
      </c>
    </row>
    <row r="39" spans="2:23" x14ac:dyDescent="0.2">
      <c r="B39" s="15" t="str">
        <f>IF('3. Setup &amp; Role Data'!G45="","",'3. Setup &amp; Role Data'!G45)</f>
        <v/>
      </c>
      <c r="C39" s="15" t="str">
        <f>IF('6. Role Evaluation'!H41="","No",'6. Role Evaluation'!H41)</f>
        <v>No</v>
      </c>
      <c r="D39" s="15" t="str">
        <f t="shared" si="0"/>
        <v/>
      </c>
      <c r="E39" s="15" t="str">
        <f t="array" aca="1" ref="E39" ca="1">IFERROR(INDEX(Include,SMALL((IF(LEN(Include),ROW(INDIRECT("1:"&amp;ROWS(Include))))),ROW(B37)),1),"")</f>
        <v/>
      </c>
      <c r="F39" s="15" t="str">
        <f ca="1">IF(E39="","",INDEX('3. Setup &amp; Role Data'!$G$9:$I$109,MATCH(E39,Role,0),2))</f>
        <v/>
      </c>
      <c r="G39" s="15" t="str">
        <f ca="1">IF(E39="","",INDEX('3. Setup &amp; Role Data'!$G$9:$I$109,MATCH(E39,Role,0),3))</f>
        <v/>
      </c>
      <c r="H39" s="15" t="str">
        <f ca="1">IF(E39="","",INDEX('6. Role Evaluation'!$B$5:$G$104,MATCH(E39,Role,0),2))</f>
        <v/>
      </c>
      <c r="I39" s="15" t="str">
        <f ca="1">IF(E39="","",INDEX('6. Role Evaluation'!$B$5:$G$104,MATCH(E39,Role,0),3))</f>
        <v/>
      </c>
      <c r="J39" s="15" t="str">
        <f ca="1">IF(E39="","",INDEX('6. Role Evaluation'!$B$5:$G$104,MATCH(E39,Role,0),4))</f>
        <v/>
      </c>
      <c r="K39" s="15" t="str">
        <f ca="1">IF(E39="","",INDEX('6. Role Evaluation'!$B$5:$G$104,MATCH(E39,Role,0),6))</f>
        <v/>
      </c>
      <c r="L39" s="15" t="str">
        <f ca="1">IF(K39='Hidden-Menus'!$E$3,1,IF(K39='Hidden-Menus'!$E$5,-1,IF(K39='Hidden-Menus'!$E$4,0,"")))</f>
        <v/>
      </c>
      <c r="M39" s="15" t="str">
        <f ca="1">IF(E39="","",INDEX('6. Role Evaluation'!$B$5:$G$104,MATCH(E39,Role,0),5))</f>
        <v/>
      </c>
      <c r="N39" s="15">
        <f ca="1">IF(M39='Hidden-Menus'!$F$3,1,IF(M39='Hidden-Menus'!$F$5,-1,0))</f>
        <v>0</v>
      </c>
      <c r="O39" s="15" t="str">
        <f ca="1">IF('7. Demand &amp; Supply Forecast'!B46="","",F39+F39*'7. Demand &amp; Supply Forecast'!F46)</f>
        <v/>
      </c>
      <c r="P39" s="15" t="str">
        <f ca="1">IF('7. Demand &amp; Supply Forecast'!B46="","",O39+O39*'7. Demand &amp; Supply Forecast'!F46)</f>
        <v/>
      </c>
      <c r="Q39" s="15" t="str">
        <f ca="1">IF('7. Demand &amp; Supply Forecast'!B46="","",P39+P39*'7. Demand &amp; Supply Forecast'!F46)</f>
        <v/>
      </c>
      <c r="R39" s="15" t="str">
        <f ca="1">IF($E39="","",MROUND(O39*'7. Demand &amp; Supply Forecast'!K46,1000))</f>
        <v/>
      </c>
      <c r="S39" s="15" t="str">
        <f ca="1">IF($E39="","",MROUND(P39*'7. Demand &amp; Supply Forecast'!L46,1000))</f>
        <v/>
      </c>
      <c r="T39" s="15" t="str">
        <f ca="1">IF($E39="","",MROUND(Q39*'7. Demand &amp; Supply Forecast'!M46,1000))</f>
        <v/>
      </c>
      <c r="U39" s="15" t="str">
        <f ca="1">IF(E39="","",'7. Demand &amp; Supply Forecast'!Q46-'7. Demand &amp; Supply Forecast'!K46)</f>
        <v/>
      </c>
      <c r="V39" s="15" t="str">
        <f ca="1">IF(E39="","",'7. Demand &amp; Supply Forecast'!R46-'7. Demand &amp; Supply Forecast'!L46)</f>
        <v/>
      </c>
      <c r="W39" s="15" t="str">
        <f ca="1">IF(E39="","",'7. Demand &amp; Supply Forecast'!S46-'7. Demand &amp; Supply Forecast'!M46)</f>
        <v/>
      </c>
    </row>
    <row r="40" spans="2:23" x14ac:dyDescent="0.2">
      <c r="B40" s="15" t="str">
        <f>IF('3. Setup &amp; Role Data'!G46="","",'3. Setup &amp; Role Data'!G46)</f>
        <v/>
      </c>
      <c r="C40" s="15" t="str">
        <f>IF('6. Role Evaluation'!H42="","No",'6. Role Evaluation'!H42)</f>
        <v>No</v>
      </c>
      <c r="D40" s="15" t="str">
        <f t="shared" si="0"/>
        <v/>
      </c>
      <c r="E40" s="15" t="str">
        <f t="array" aca="1" ref="E40" ca="1">IFERROR(INDEX(Include,SMALL((IF(LEN(Include),ROW(INDIRECT("1:"&amp;ROWS(Include))))),ROW(B38)),1),"")</f>
        <v/>
      </c>
      <c r="F40" s="15" t="str">
        <f ca="1">IF(E40="","",INDEX('3. Setup &amp; Role Data'!$G$9:$I$109,MATCH(E40,Role,0),2))</f>
        <v/>
      </c>
      <c r="G40" s="15" t="str">
        <f ca="1">IF(E40="","",INDEX('3. Setup &amp; Role Data'!$G$9:$I$109,MATCH(E40,Role,0),3))</f>
        <v/>
      </c>
      <c r="H40" s="15" t="str">
        <f ca="1">IF(E40="","",INDEX('6. Role Evaluation'!$B$5:$G$104,MATCH(E40,Role,0),2))</f>
        <v/>
      </c>
      <c r="I40" s="15" t="str">
        <f ca="1">IF(E40="","",INDEX('6. Role Evaluation'!$B$5:$G$104,MATCH(E40,Role,0),3))</f>
        <v/>
      </c>
      <c r="J40" s="15" t="str">
        <f ca="1">IF(E40="","",INDEX('6. Role Evaluation'!$B$5:$G$104,MATCH(E40,Role,0),4))</f>
        <v/>
      </c>
      <c r="K40" s="15" t="str">
        <f ca="1">IF(E40="","",INDEX('6. Role Evaluation'!$B$5:$G$104,MATCH(E40,Role,0),6))</f>
        <v/>
      </c>
      <c r="L40" s="15" t="str">
        <f ca="1">IF(K40='Hidden-Menus'!$E$3,1,IF(K40='Hidden-Menus'!$E$5,-1,IF(K40='Hidden-Menus'!$E$4,0,"")))</f>
        <v/>
      </c>
      <c r="M40" s="15" t="str">
        <f ca="1">IF(E40="","",INDEX('6. Role Evaluation'!$B$5:$G$104,MATCH(E40,Role,0),5))</f>
        <v/>
      </c>
      <c r="N40" s="15">
        <f ca="1">IF(M40='Hidden-Menus'!$F$3,1,IF(M40='Hidden-Menus'!$F$5,-1,0))</f>
        <v>0</v>
      </c>
      <c r="O40" s="15" t="str">
        <f ca="1">IF('7. Demand &amp; Supply Forecast'!B47="","",F40+F40*'7. Demand &amp; Supply Forecast'!F47)</f>
        <v/>
      </c>
      <c r="P40" s="15" t="str">
        <f ca="1">IF('7. Demand &amp; Supply Forecast'!B47="","",O40+O40*'7. Demand &amp; Supply Forecast'!F47)</f>
        <v/>
      </c>
      <c r="Q40" s="15" t="str">
        <f ca="1">IF('7. Demand &amp; Supply Forecast'!B47="","",P40+P40*'7. Demand &amp; Supply Forecast'!F47)</f>
        <v/>
      </c>
      <c r="R40" s="15" t="str">
        <f ca="1">IF($E40="","",MROUND(O40*'7. Demand &amp; Supply Forecast'!K47,1000))</f>
        <v/>
      </c>
      <c r="S40" s="15" t="str">
        <f ca="1">IF($E40="","",MROUND(P40*'7. Demand &amp; Supply Forecast'!L47,1000))</f>
        <v/>
      </c>
      <c r="T40" s="15" t="str">
        <f ca="1">IF($E40="","",MROUND(Q40*'7. Demand &amp; Supply Forecast'!M47,1000))</f>
        <v/>
      </c>
      <c r="U40" s="15" t="str">
        <f ca="1">IF(E40="","",'7. Demand &amp; Supply Forecast'!Q47-'7. Demand &amp; Supply Forecast'!K47)</f>
        <v/>
      </c>
      <c r="V40" s="15" t="str">
        <f ca="1">IF(E40="","",'7. Demand &amp; Supply Forecast'!R47-'7. Demand &amp; Supply Forecast'!L47)</f>
        <v/>
      </c>
      <c r="W40" s="15" t="str">
        <f ca="1">IF(E40="","",'7. Demand &amp; Supply Forecast'!S47-'7. Demand &amp; Supply Forecast'!M47)</f>
        <v/>
      </c>
    </row>
    <row r="41" spans="2:23" x14ac:dyDescent="0.2">
      <c r="B41" s="15" t="str">
        <f>IF('3. Setup &amp; Role Data'!G47="","",'3. Setup &amp; Role Data'!G47)</f>
        <v/>
      </c>
      <c r="C41" s="15" t="str">
        <f>IF('6. Role Evaluation'!H43="","No",'6. Role Evaluation'!H43)</f>
        <v>No</v>
      </c>
      <c r="D41" s="15" t="str">
        <f t="shared" si="0"/>
        <v/>
      </c>
      <c r="E41" s="15" t="str">
        <f t="array" aca="1" ref="E41" ca="1">IFERROR(INDEX(Include,SMALL((IF(LEN(Include),ROW(INDIRECT("1:"&amp;ROWS(Include))))),ROW(B39)),1),"")</f>
        <v/>
      </c>
      <c r="F41" s="15" t="str">
        <f ca="1">IF(E41="","",INDEX('3. Setup &amp; Role Data'!$G$9:$I$109,MATCH(E41,Role,0),2))</f>
        <v/>
      </c>
      <c r="G41" s="15" t="str">
        <f ca="1">IF(E41="","",INDEX('3. Setup &amp; Role Data'!$G$9:$I$109,MATCH(E41,Role,0),3))</f>
        <v/>
      </c>
      <c r="H41" s="15" t="str">
        <f ca="1">IF(E41="","",INDEX('6. Role Evaluation'!$B$5:$G$104,MATCH(E41,Role,0),2))</f>
        <v/>
      </c>
      <c r="I41" s="15" t="str">
        <f ca="1">IF(E41="","",INDEX('6. Role Evaluation'!$B$5:$G$104,MATCH(E41,Role,0),3))</f>
        <v/>
      </c>
      <c r="J41" s="15" t="str">
        <f ca="1">IF(E41="","",INDEX('6. Role Evaluation'!$B$5:$G$104,MATCH(E41,Role,0),4))</f>
        <v/>
      </c>
      <c r="K41" s="15" t="str">
        <f ca="1">IF(E41="","",INDEX('6. Role Evaluation'!$B$5:$G$104,MATCH(E41,Role,0),6))</f>
        <v/>
      </c>
      <c r="L41" s="15" t="str">
        <f ca="1">IF(K41='Hidden-Menus'!$E$3,1,IF(K41='Hidden-Menus'!$E$5,-1,IF(K41='Hidden-Menus'!$E$4,0,"")))</f>
        <v/>
      </c>
      <c r="M41" s="15" t="str">
        <f ca="1">IF(E41="","",INDEX('6. Role Evaluation'!$B$5:$G$104,MATCH(E41,Role,0),5))</f>
        <v/>
      </c>
      <c r="N41" s="15">
        <f ca="1">IF(M41='Hidden-Menus'!$F$3,1,IF(M41='Hidden-Menus'!$F$5,-1,0))</f>
        <v>0</v>
      </c>
      <c r="O41" s="15" t="str">
        <f ca="1">IF('7. Demand &amp; Supply Forecast'!B48="","",F41+F41*'7. Demand &amp; Supply Forecast'!F48)</f>
        <v/>
      </c>
      <c r="P41" s="15" t="str">
        <f ca="1">IF('7. Demand &amp; Supply Forecast'!B48="","",O41+O41*'7. Demand &amp; Supply Forecast'!F48)</f>
        <v/>
      </c>
      <c r="Q41" s="15" t="str">
        <f ca="1">IF('7. Demand &amp; Supply Forecast'!B48="","",P41+P41*'7. Demand &amp; Supply Forecast'!F48)</f>
        <v/>
      </c>
      <c r="R41" s="15" t="str">
        <f ca="1">IF($E41="","",MROUND(O41*'7. Demand &amp; Supply Forecast'!K48,1000))</f>
        <v/>
      </c>
      <c r="S41" s="15" t="str">
        <f ca="1">IF($E41="","",MROUND(P41*'7. Demand &amp; Supply Forecast'!L48,1000))</f>
        <v/>
      </c>
      <c r="T41" s="15" t="str">
        <f ca="1">IF($E41="","",MROUND(Q41*'7. Demand &amp; Supply Forecast'!M48,1000))</f>
        <v/>
      </c>
      <c r="U41" s="15" t="str">
        <f ca="1">IF(E41="","",'7. Demand &amp; Supply Forecast'!Q48-'7. Demand &amp; Supply Forecast'!K48)</f>
        <v/>
      </c>
      <c r="V41" s="15" t="str">
        <f ca="1">IF(E41="","",'7. Demand &amp; Supply Forecast'!R48-'7. Demand &amp; Supply Forecast'!L48)</f>
        <v/>
      </c>
      <c r="W41" s="15" t="str">
        <f ca="1">IF(E41="","",'7. Demand &amp; Supply Forecast'!S48-'7. Demand &amp; Supply Forecast'!M48)</f>
        <v/>
      </c>
    </row>
    <row r="42" spans="2:23" x14ac:dyDescent="0.2">
      <c r="B42" s="15" t="str">
        <f>IF('3. Setup &amp; Role Data'!G48="","",'3. Setup &amp; Role Data'!G48)</f>
        <v/>
      </c>
      <c r="C42" s="15" t="str">
        <f>IF('6. Role Evaluation'!H44="","No",'6. Role Evaluation'!H44)</f>
        <v>No</v>
      </c>
      <c r="D42" s="15" t="str">
        <f t="shared" si="0"/>
        <v/>
      </c>
      <c r="E42" s="15" t="str">
        <f t="array" aca="1" ref="E42" ca="1">IFERROR(INDEX(Include,SMALL((IF(LEN(Include),ROW(INDIRECT("1:"&amp;ROWS(Include))))),ROW(B40)),1),"")</f>
        <v/>
      </c>
      <c r="F42" s="15" t="str">
        <f ca="1">IF(E42="","",INDEX('3. Setup &amp; Role Data'!$G$9:$I$109,MATCH(E42,Role,0),2))</f>
        <v/>
      </c>
      <c r="G42" s="15" t="str">
        <f ca="1">IF(E42="","",INDEX('3. Setup &amp; Role Data'!$G$9:$I$109,MATCH(E42,Role,0),3))</f>
        <v/>
      </c>
      <c r="H42" s="15" t="str">
        <f ca="1">IF(E42="","",INDEX('6. Role Evaluation'!$B$5:$G$104,MATCH(E42,Role,0),2))</f>
        <v/>
      </c>
      <c r="I42" s="15" t="str">
        <f ca="1">IF(E42="","",INDEX('6. Role Evaluation'!$B$5:$G$104,MATCH(E42,Role,0),3))</f>
        <v/>
      </c>
      <c r="J42" s="15" t="str">
        <f ca="1">IF(E42="","",INDEX('6. Role Evaluation'!$B$5:$G$104,MATCH(E42,Role,0),4))</f>
        <v/>
      </c>
      <c r="K42" s="15" t="str">
        <f ca="1">IF(E42="","",INDEX('6. Role Evaluation'!$B$5:$G$104,MATCH(E42,Role,0),6))</f>
        <v/>
      </c>
      <c r="L42" s="15" t="str">
        <f ca="1">IF(K42='Hidden-Menus'!$E$3,1,IF(K42='Hidden-Menus'!$E$5,-1,IF(K42='Hidden-Menus'!$E$4,0,"")))</f>
        <v/>
      </c>
      <c r="M42" s="15" t="str">
        <f ca="1">IF(E42="","",INDEX('6. Role Evaluation'!$B$5:$G$104,MATCH(E42,Role,0),5))</f>
        <v/>
      </c>
      <c r="N42" s="15">
        <f ca="1">IF(M42='Hidden-Menus'!$F$3,1,IF(M42='Hidden-Menus'!$F$5,-1,0))</f>
        <v>0</v>
      </c>
      <c r="O42" s="15" t="str">
        <f ca="1">IF('7. Demand &amp; Supply Forecast'!B49="","",F42+F42*'7. Demand &amp; Supply Forecast'!F49)</f>
        <v/>
      </c>
      <c r="P42" s="15" t="str">
        <f ca="1">IF('7. Demand &amp; Supply Forecast'!B49="","",O42+O42*'7. Demand &amp; Supply Forecast'!F49)</f>
        <v/>
      </c>
      <c r="Q42" s="15" t="str">
        <f ca="1">IF('7. Demand &amp; Supply Forecast'!B49="","",P42+P42*'7. Demand &amp; Supply Forecast'!F49)</f>
        <v/>
      </c>
      <c r="R42" s="15" t="str">
        <f ca="1">IF($E42="","",MROUND(O42*'7. Demand &amp; Supply Forecast'!K49,1000))</f>
        <v/>
      </c>
      <c r="S42" s="15" t="str">
        <f ca="1">IF($E42="","",MROUND(P42*'7. Demand &amp; Supply Forecast'!L49,1000))</f>
        <v/>
      </c>
      <c r="T42" s="15" t="str">
        <f ca="1">IF($E42="","",MROUND(Q42*'7. Demand &amp; Supply Forecast'!M49,1000))</f>
        <v/>
      </c>
      <c r="U42" s="15" t="str">
        <f ca="1">IF(E42="","",'7. Demand &amp; Supply Forecast'!Q49-'7. Demand &amp; Supply Forecast'!K49)</f>
        <v/>
      </c>
      <c r="V42" s="15" t="str">
        <f ca="1">IF(E42="","",'7. Demand &amp; Supply Forecast'!R49-'7. Demand &amp; Supply Forecast'!L49)</f>
        <v/>
      </c>
      <c r="W42" s="15" t="str">
        <f ca="1">IF(E42="","",'7. Demand &amp; Supply Forecast'!S49-'7. Demand &amp; Supply Forecast'!M49)</f>
        <v/>
      </c>
    </row>
    <row r="43" spans="2:23" x14ac:dyDescent="0.2">
      <c r="B43" s="15" t="str">
        <f>IF('3. Setup &amp; Role Data'!G49="","",'3. Setup &amp; Role Data'!G49)</f>
        <v/>
      </c>
      <c r="C43" s="15" t="str">
        <f>IF('6. Role Evaluation'!H45="","No",'6. Role Evaluation'!H45)</f>
        <v>No</v>
      </c>
      <c r="D43" s="15" t="str">
        <f t="shared" si="0"/>
        <v/>
      </c>
      <c r="E43" s="15" t="str">
        <f t="array" aca="1" ref="E43" ca="1">IFERROR(INDEX(Include,SMALL((IF(LEN(Include),ROW(INDIRECT("1:"&amp;ROWS(Include))))),ROW(B41)),1),"")</f>
        <v/>
      </c>
      <c r="F43" s="15" t="str">
        <f ca="1">IF(E43="","",INDEX('3. Setup &amp; Role Data'!$G$9:$I$109,MATCH(E43,Role,0),2))</f>
        <v/>
      </c>
      <c r="G43" s="15" t="str">
        <f ca="1">IF(E43="","",INDEX('3. Setup &amp; Role Data'!$G$9:$I$109,MATCH(E43,Role,0),3))</f>
        <v/>
      </c>
      <c r="H43" s="15" t="str">
        <f ca="1">IF(E43="","",INDEX('6. Role Evaluation'!$B$5:$G$104,MATCH(E43,Role,0),2))</f>
        <v/>
      </c>
      <c r="I43" s="15" t="str">
        <f ca="1">IF(E43="","",INDEX('6. Role Evaluation'!$B$5:$G$104,MATCH(E43,Role,0),3))</f>
        <v/>
      </c>
      <c r="J43" s="15" t="str">
        <f ca="1">IF(E43="","",INDEX('6. Role Evaluation'!$B$5:$G$104,MATCH(E43,Role,0),4))</f>
        <v/>
      </c>
      <c r="K43" s="15" t="str">
        <f ca="1">IF(E43="","",INDEX('6. Role Evaluation'!$B$5:$G$104,MATCH(E43,Role,0),6))</f>
        <v/>
      </c>
      <c r="L43" s="15" t="str">
        <f ca="1">IF(K43='Hidden-Menus'!$E$3,1,IF(K43='Hidden-Menus'!$E$5,-1,IF(K43='Hidden-Menus'!$E$4,0,"")))</f>
        <v/>
      </c>
      <c r="M43" s="15" t="str">
        <f ca="1">IF(E43="","",INDEX('6. Role Evaluation'!$B$5:$G$104,MATCH(E43,Role,0),5))</f>
        <v/>
      </c>
      <c r="N43" s="15">
        <f ca="1">IF(M43='Hidden-Menus'!$F$3,1,IF(M43='Hidden-Menus'!$F$5,-1,0))</f>
        <v>0</v>
      </c>
      <c r="O43" s="15" t="str">
        <f ca="1">IF('7. Demand &amp; Supply Forecast'!B50="","",F43+F43*'7. Demand &amp; Supply Forecast'!F50)</f>
        <v/>
      </c>
      <c r="P43" s="15" t="str">
        <f ca="1">IF('7. Demand &amp; Supply Forecast'!B50="","",O43+O43*'7. Demand &amp; Supply Forecast'!F50)</f>
        <v/>
      </c>
      <c r="Q43" s="15" t="str">
        <f ca="1">IF('7. Demand &amp; Supply Forecast'!B50="","",P43+P43*'7. Demand &amp; Supply Forecast'!F50)</f>
        <v/>
      </c>
      <c r="R43" s="15" t="str">
        <f ca="1">IF($E43="","",MROUND(O43*'7. Demand &amp; Supply Forecast'!K50,1000))</f>
        <v/>
      </c>
      <c r="S43" s="15" t="str">
        <f ca="1">IF($E43="","",MROUND(P43*'7. Demand &amp; Supply Forecast'!L50,1000))</f>
        <v/>
      </c>
      <c r="T43" s="15" t="str">
        <f ca="1">IF($E43="","",MROUND(Q43*'7. Demand &amp; Supply Forecast'!M50,1000))</f>
        <v/>
      </c>
      <c r="U43" s="15" t="str">
        <f ca="1">IF(E43="","",'7. Demand &amp; Supply Forecast'!Q50-'7. Demand &amp; Supply Forecast'!K50)</f>
        <v/>
      </c>
      <c r="V43" s="15" t="str">
        <f ca="1">IF(E43="","",'7. Demand &amp; Supply Forecast'!R50-'7. Demand &amp; Supply Forecast'!L50)</f>
        <v/>
      </c>
      <c r="W43" s="15" t="str">
        <f ca="1">IF(E43="","",'7. Demand &amp; Supply Forecast'!S50-'7. Demand &amp; Supply Forecast'!M50)</f>
        <v/>
      </c>
    </row>
    <row r="44" spans="2:23" x14ac:dyDescent="0.2">
      <c r="B44" s="15" t="str">
        <f>IF('3. Setup &amp; Role Data'!G50="","",'3. Setup &amp; Role Data'!G50)</f>
        <v/>
      </c>
      <c r="C44" s="15" t="str">
        <f>IF('6. Role Evaluation'!H46="","No",'6. Role Evaluation'!H46)</f>
        <v>No</v>
      </c>
      <c r="D44" s="15" t="str">
        <f t="shared" si="0"/>
        <v/>
      </c>
      <c r="E44" s="15" t="str">
        <f t="array" aca="1" ref="E44" ca="1">IFERROR(INDEX(Include,SMALL((IF(LEN(Include),ROW(INDIRECT("1:"&amp;ROWS(Include))))),ROW(B42)),1),"")</f>
        <v/>
      </c>
      <c r="F44" s="15" t="str">
        <f ca="1">IF(E44="","",INDEX('3. Setup &amp; Role Data'!$G$9:$I$109,MATCH(E44,Role,0),2))</f>
        <v/>
      </c>
      <c r="G44" s="15" t="str">
        <f ca="1">IF(E44="","",INDEX('3. Setup &amp; Role Data'!$G$9:$I$109,MATCH(E44,Role,0),3))</f>
        <v/>
      </c>
      <c r="H44" s="15" t="str">
        <f ca="1">IF(E44="","",INDEX('6. Role Evaluation'!$B$5:$G$104,MATCH(E44,Role,0),2))</f>
        <v/>
      </c>
      <c r="I44" s="15" t="str">
        <f ca="1">IF(E44="","",INDEX('6. Role Evaluation'!$B$5:$G$104,MATCH(E44,Role,0),3))</f>
        <v/>
      </c>
      <c r="J44" s="15" t="str">
        <f ca="1">IF(E44="","",INDEX('6. Role Evaluation'!$B$5:$G$104,MATCH(E44,Role,0),4))</f>
        <v/>
      </c>
      <c r="K44" s="15" t="str">
        <f ca="1">IF(E44="","",INDEX('6. Role Evaluation'!$B$5:$G$104,MATCH(E44,Role,0),6))</f>
        <v/>
      </c>
      <c r="L44" s="15" t="str">
        <f ca="1">IF(K44='Hidden-Menus'!$E$3,1,IF(K44='Hidden-Menus'!$E$5,-1,IF(K44='Hidden-Menus'!$E$4,0,"")))</f>
        <v/>
      </c>
      <c r="M44" s="15" t="str">
        <f ca="1">IF(E44="","",INDEX('6. Role Evaluation'!$B$5:$G$104,MATCH(E44,Role,0),5))</f>
        <v/>
      </c>
      <c r="N44" s="15">
        <f ca="1">IF(M44='Hidden-Menus'!$F$3,1,IF(M44='Hidden-Menus'!$F$5,-1,0))</f>
        <v>0</v>
      </c>
      <c r="O44" s="15" t="str">
        <f ca="1">IF('7. Demand &amp; Supply Forecast'!B51="","",F44+F44*'7. Demand &amp; Supply Forecast'!F51)</f>
        <v/>
      </c>
      <c r="P44" s="15" t="str">
        <f ca="1">IF('7. Demand &amp; Supply Forecast'!B51="","",O44+O44*'7. Demand &amp; Supply Forecast'!F51)</f>
        <v/>
      </c>
      <c r="Q44" s="15" t="str">
        <f ca="1">IF('7. Demand &amp; Supply Forecast'!B51="","",P44+P44*'7. Demand &amp; Supply Forecast'!F51)</f>
        <v/>
      </c>
      <c r="R44" s="15" t="str">
        <f ca="1">IF($E44="","",MROUND(O44*'7. Demand &amp; Supply Forecast'!K51,1000))</f>
        <v/>
      </c>
      <c r="S44" s="15" t="str">
        <f ca="1">IF($E44="","",MROUND(P44*'7. Demand &amp; Supply Forecast'!L51,1000))</f>
        <v/>
      </c>
      <c r="T44" s="15" t="str">
        <f ca="1">IF($E44="","",MROUND(Q44*'7. Demand &amp; Supply Forecast'!M51,1000))</f>
        <v/>
      </c>
      <c r="U44" s="15" t="str">
        <f ca="1">IF(E44="","",'7. Demand &amp; Supply Forecast'!Q51-'7. Demand &amp; Supply Forecast'!K51)</f>
        <v/>
      </c>
      <c r="V44" s="15" t="str">
        <f ca="1">IF(E44="","",'7. Demand &amp; Supply Forecast'!R51-'7. Demand &amp; Supply Forecast'!L51)</f>
        <v/>
      </c>
      <c r="W44" s="15" t="str">
        <f ca="1">IF(E44="","",'7. Demand &amp; Supply Forecast'!S51-'7. Demand &amp; Supply Forecast'!M51)</f>
        <v/>
      </c>
    </row>
    <row r="45" spans="2:23" x14ac:dyDescent="0.2">
      <c r="B45" s="15" t="str">
        <f>IF('3. Setup &amp; Role Data'!G51="","",'3. Setup &amp; Role Data'!G51)</f>
        <v/>
      </c>
      <c r="C45" s="15" t="str">
        <f>IF('6. Role Evaluation'!H47="","No",'6. Role Evaluation'!H47)</f>
        <v>No</v>
      </c>
      <c r="D45" s="15" t="str">
        <f t="shared" si="0"/>
        <v/>
      </c>
      <c r="E45" s="15" t="str">
        <f t="array" aca="1" ref="E45" ca="1">IFERROR(INDEX(Include,SMALL((IF(LEN(Include),ROW(INDIRECT("1:"&amp;ROWS(Include))))),ROW(B43)),1),"")</f>
        <v/>
      </c>
      <c r="F45" s="15" t="str">
        <f ca="1">IF(E45="","",INDEX('3. Setup &amp; Role Data'!$G$9:$I$109,MATCH(E45,Role,0),2))</f>
        <v/>
      </c>
      <c r="G45" s="15" t="str">
        <f ca="1">IF(E45="","",INDEX('3. Setup &amp; Role Data'!$G$9:$I$109,MATCH(E45,Role,0),3))</f>
        <v/>
      </c>
      <c r="H45" s="15" t="str">
        <f ca="1">IF(E45="","",INDEX('6. Role Evaluation'!$B$5:$G$104,MATCH(E45,Role,0),2))</f>
        <v/>
      </c>
      <c r="I45" s="15" t="str">
        <f ca="1">IF(E45="","",INDEX('6. Role Evaluation'!$B$5:$G$104,MATCH(E45,Role,0),3))</f>
        <v/>
      </c>
      <c r="J45" s="15" t="str">
        <f ca="1">IF(E45="","",INDEX('6. Role Evaluation'!$B$5:$G$104,MATCH(E45,Role,0),4))</f>
        <v/>
      </c>
      <c r="K45" s="15" t="str">
        <f ca="1">IF(E45="","",INDEX('6. Role Evaluation'!$B$5:$G$104,MATCH(E45,Role,0),6))</f>
        <v/>
      </c>
      <c r="L45" s="15" t="str">
        <f ca="1">IF(K45='Hidden-Menus'!$E$3,1,IF(K45='Hidden-Menus'!$E$5,-1,IF(K45='Hidden-Menus'!$E$4,0,"")))</f>
        <v/>
      </c>
      <c r="M45" s="15" t="str">
        <f ca="1">IF(E45="","",INDEX('6. Role Evaluation'!$B$5:$G$104,MATCH(E45,Role,0),5))</f>
        <v/>
      </c>
      <c r="N45" s="15">
        <f ca="1">IF(M45='Hidden-Menus'!$F$3,1,IF(M45='Hidden-Menus'!$F$5,-1,0))</f>
        <v>0</v>
      </c>
      <c r="O45" s="15" t="str">
        <f ca="1">IF('7. Demand &amp; Supply Forecast'!B52="","",F45+F45*'7. Demand &amp; Supply Forecast'!F52)</f>
        <v/>
      </c>
      <c r="P45" s="15" t="str">
        <f ca="1">IF('7. Demand &amp; Supply Forecast'!B52="","",O45+O45*'7. Demand &amp; Supply Forecast'!F52)</f>
        <v/>
      </c>
      <c r="Q45" s="15" t="str">
        <f ca="1">IF('7. Demand &amp; Supply Forecast'!B52="","",P45+P45*'7. Demand &amp; Supply Forecast'!F52)</f>
        <v/>
      </c>
      <c r="R45" s="15" t="str">
        <f ca="1">IF($E45="","",MROUND(O45*'7. Demand &amp; Supply Forecast'!K52,1000))</f>
        <v/>
      </c>
      <c r="S45" s="15" t="str">
        <f ca="1">IF($E45="","",MROUND(P45*'7. Demand &amp; Supply Forecast'!L52,1000))</f>
        <v/>
      </c>
      <c r="T45" s="15" t="str">
        <f ca="1">IF($E45="","",MROUND(Q45*'7. Demand &amp; Supply Forecast'!M52,1000))</f>
        <v/>
      </c>
      <c r="U45" s="15" t="str">
        <f ca="1">IF(E45="","",'7. Demand &amp; Supply Forecast'!Q52-'7. Demand &amp; Supply Forecast'!K52)</f>
        <v/>
      </c>
      <c r="V45" s="15" t="str">
        <f ca="1">IF(E45="","",'7. Demand &amp; Supply Forecast'!R52-'7. Demand &amp; Supply Forecast'!L52)</f>
        <v/>
      </c>
      <c r="W45" s="15" t="str">
        <f ca="1">IF(E45="","",'7. Demand &amp; Supply Forecast'!S52-'7. Demand &amp; Supply Forecast'!M52)</f>
        <v/>
      </c>
    </row>
    <row r="46" spans="2:23" x14ac:dyDescent="0.2">
      <c r="B46" s="15" t="str">
        <f>IF('3. Setup &amp; Role Data'!G52="","",'3. Setup &amp; Role Data'!G52)</f>
        <v/>
      </c>
      <c r="C46" s="15" t="str">
        <f>IF('6. Role Evaluation'!H48="","No",'6. Role Evaluation'!H48)</f>
        <v>No</v>
      </c>
      <c r="D46" s="15" t="str">
        <f t="shared" si="0"/>
        <v/>
      </c>
      <c r="E46" s="15" t="str">
        <f t="array" aca="1" ref="E46" ca="1">IFERROR(INDEX(Include,SMALL((IF(LEN(Include),ROW(INDIRECT("1:"&amp;ROWS(Include))))),ROW(B44)),1),"")</f>
        <v/>
      </c>
      <c r="F46" s="15" t="str">
        <f ca="1">IF(E46="","",INDEX('3. Setup &amp; Role Data'!$G$9:$I$109,MATCH(E46,Role,0),2))</f>
        <v/>
      </c>
      <c r="G46" s="15" t="str">
        <f ca="1">IF(E46="","",INDEX('3. Setup &amp; Role Data'!$G$9:$I$109,MATCH(E46,Role,0),3))</f>
        <v/>
      </c>
      <c r="H46" s="15" t="str">
        <f ca="1">IF(E46="","",INDEX('6. Role Evaluation'!$B$5:$G$104,MATCH(E46,Role,0),2))</f>
        <v/>
      </c>
      <c r="I46" s="15" t="str">
        <f ca="1">IF(E46="","",INDEX('6. Role Evaluation'!$B$5:$G$104,MATCH(E46,Role,0),3))</f>
        <v/>
      </c>
      <c r="J46" s="15" t="str">
        <f ca="1">IF(E46="","",INDEX('6. Role Evaluation'!$B$5:$G$104,MATCH(E46,Role,0),4))</f>
        <v/>
      </c>
      <c r="K46" s="15" t="str">
        <f ca="1">IF(E46="","",INDEX('6. Role Evaluation'!$B$5:$G$104,MATCH(E46,Role,0),6))</f>
        <v/>
      </c>
      <c r="L46" s="15" t="str">
        <f ca="1">IF(K46='Hidden-Menus'!$E$3,1,IF(K46='Hidden-Menus'!$E$5,-1,IF(K46='Hidden-Menus'!$E$4,0,"")))</f>
        <v/>
      </c>
      <c r="M46" s="15" t="str">
        <f ca="1">IF(E46="","",INDEX('6. Role Evaluation'!$B$5:$G$104,MATCH(E46,Role,0),5))</f>
        <v/>
      </c>
      <c r="N46" s="15">
        <f ca="1">IF(M46='Hidden-Menus'!$F$3,1,IF(M46='Hidden-Menus'!$F$5,-1,0))</f>
        <v>0</v>
      </c>
      <c r="O46" s="15" t="str">
        <f ca="1">IF('7. Demand &amp; Supply Forecast'!B53="","",F46+F46*'7. Demand &amp; Supply Forecast'!F53)</f>
        <v/>
      </c>
      <c r="P46" s="15" t="str">
        <f ca="1">IF('7. Demand &amp; Supply Forecast'!B53="","",O46+O46*'7. Demand &amp; Supply Forecast'!F53)</f>
        <v/>
      </c>
      <c r="Q46" s="15" t="str">
        <f ca="1">IF('7. Demand &amp; Supply Forecast'!B53="","",P46+P46*'7. Demand &amp; Supply Forecast'!F53)</f>
        <v/>
      </c>
      <c r="R46" s="15" t="str">
        <f ca="1">IF($E46="","",MROUND(O46*'7. Demand &amp; Supply Forecast'!K53,1000))</f>
        <v/>
      </c>
      <c r="S46" s="15" t="str">
        <f ca="1">IF($E46="","",MROUND(P46*'7. Demand &amp; Supply Forecast'!L53,1000))</f>
        <v/>
      </c>
      <c r="T46" s="15" t="str">
        <f ca="1">IF($E46="","",MROUND(Q46*'7. Demand &amp; Supply Forecast'!M53,1000))</f>
        <v/>
      </c>
      <c r="U46" s="15" t="str">
        <f ca="1">IF(E46="","",'7. Demand &amp; Supply Forecast'!Q53-'7. Demand &amp; Supply Forecast'!K53)</f>
        <v/>
      </c>
      <c r="V46" s="15" t="str">
        <f ca="1">IF(E46="","",'7. Demand &amp; Supply Forecast'!R53-'7. Demand &amp; Supply Forecast'!L53)</f>
        <v/>
      </c>
      <c r="W46" s="15" t="str">
        <f ca="1">IF(E46="","",'7. Demand &amp; Supply Forecast'!S53-'7. Demand &amp; Supply Forecast'!M53)</f>
        <v/>
      </c>
    </row>
    <row r="47" spans="2:23" x14ac:dyDescent="0.2">
      <c r="B47" s="15" t="str">
        <f>IF('3. Setup &amp; Role Data'!G53="","",'3. Setup &amp; Role Data'!G53)</f>
        <v/>
      </c>
      <c r="C47" s="15" t="str">
        <f>IF('6. Role Evaluation'!H49="","No",'6. Role Evaluation'!H49)</f>
        <v>No</v>
      </c>
      <c r="D47" s="15" t="str">
        <f t="shared" si="0"/>
        <v/>
      </c>
      <c r="E47" s="15" t="str">
        <f t="array" aca="1" ref="E47" ca="1">IFERROR(INDEX(Include,SMALL((IF(LEN(Include),ROW(INDIRECT("1:"&amp;ROWS(Include))))),ROW(B45)),1),"")</f>
        <v/>
      </c>
      <c r="F47" s="15" t="str">
        <f ca="1">IF(E47="","",INDEX('3. Setup &amp; Role Data'!$G$9:$I$109,MATCH(E47,Role,0),2))</f>
        <v/>
      </c>
      <c r="G47" s="15" t="str">
        <f ca="1">IF(E47="","",INDEX('3. Setup &amp; Role Data'!$G$9:$I$109,MATCH(E47,Role,0),3))</f>
        <v/>
      </c>
      <c r="H47" s="15" t="str">
        <f ca="1">IF(E47="","",INDEX('6. Role Evaluation'!$B$5:$G$104,MATCH(E47,Role,0),2))</f>
        <v/>
      </c>
      <c r="I47" s="15" t="str">
        <f ca="1">IF(E47="","",INDEX('6. Role Evaluation'!$B$5:$G$104,MATCH(E47,Role,0),3))</f>
        <v/>
      </c>
      <c r="J47" s="15" t="str">
        <f ca="1">IF(E47="","",INDEX('6. Role Evaluation'!$B$5:$G$104,MATCH(E47,Role,0),4))</f>
        <v/>
      </c>
      <c r="K47" s="15" t="str">
        <f ca="1">IF(E47="","",INDEX('6. Role Evaluation'!$B$5:$G$104,MATCH(E47,Role,0),6))</f>
        <v/>
      </c>
      <c r="L47" s="15" t="str">
        <f ca="1">IF(K47='Hidden-Menus'!$E$3,1,IF(K47='Hidden-Menus'!$E$5,-1,IF(K47='Hidden-Menus'!$E$4,0,"")))</f>
        <v/>
      </c>
      <c r="M47" s="15" t="str">
        <f ca="1">IF(E47="","",INDEX('6. Role Evaluation'!$B$5:$G$104,MATCH(E47,Role,0),5))</f>
        <v/>
      </c>
      <c r="N47" s="15">
        <f ca="1">IF(M47='Hidden-Menus'!$F$3,1,IF(M47='Hidden-Menus'!$F$5,-1,0))</f>
        <v>0</v>
      </c>
      <c r="O47" s="15" t="str">
        <f ca="1">IF('7. Demand &amp; Supply Forecast'!B54="","",F47+F47*'7. Demand &amp; Supply Forecast'!F54)</f>
        <v/>
      </c>
      <c r="P47" s="15" t="str">
        <f ca="1">IF('7. Demand &amp; Supply Forecast'!B54="","",O47+O47*'7. Demand &amp; Supply Forecast'!F54)</f>
        <v/>
      </c>
      <c r="Q47" s="15" t="str">
        <f ca="1">IF('7. Demand &amp; Supply Forecast'!B54="","",P47+P47*'7. Demand &amp; Supply Forecast'!F54)</f>
        <v/>
      </c>
      <c r="R47" s="15" t="str">
        <f ca="1">IF($E47="","",MROUND(O47*'7. Demand &amp; Supply Forecast'!K54,1000))</f>
        <v/>
      </c>
      <c r="S47" s="15" t="str">
        <f ca="1">IF($E47="","",MROUND(P47*'7. Demand &amp; Supply Forecast'!L54,1000))</f>
        <v/>
      </c>
      <c r="T47" s="15" t="str">
        <f ca="1">IF($E47="","",MROUND(Q47*'7. Demand &amp; Supply Forecast'!M54,1000))</f>
        <v/>
      </c>
      <c r="U47" s="15" t="str">
        <f ca="1">IF(E47="","",'7. Demand &amp; Supply Forecast'!Q54-'7. Demand &amp; Supply Forecast'!K54)</f>
        <v/>
      </c>
      <c r="V47" s="15" t="str">
        <f ca="1">IF(E47="","",'7. Demand &amp; Supply Forecast'!R54-'7. Demand &amp; Supply Forecast'!L54)</f>
        <v/>
      </c>
      <c r="W47" s="15" t="str">
        <f ca="1">IF(E47="","",'7. Demand &amp; Supply Forecast'!S54-'7. Demand &amp; Supply Forecast'!M54)</f>
        <v/>
      </c>
    </row>
    <row r="48" spans="2:23" x14ac:dyDescent="0.2">
      <c r="B48" s="15" t="str">
        <f>IF('3. Setup &amp; Role Data'!G54="","",'3. Setup &amp; Role Data'!G54)</f>
        <v/>
      </c>
      <c r="C48" s="15" t="str">
        <f>IF('6. Role Evaluation'!H50="","No",'6. Role Evaluation'!H50)</f>
        <v>No</v>
      </c>
      <c r="D48" s="15" t="str">
        <f t="shared" si="0"/>
        <v/>
      </c>
      <c r="E48" s="15" t="str">
        <f t="array" aca="1" ref="E48" ca="1">IFERROR(INDEX(Include,SMALL((IF(LEN(Include),ROW(INDIRECT("1:"&amp;ROWS(Include))))),ROW(B46)),1),"")</f>
        <v/>
      </c>
      <c r="F48" s="15" t="str">
        <f ca="1">IF(E48="","",INDEX('3. Setup &amp; Role Data'!$G$9:$I$109,MATCH(E48,Role,0),2))</f>
        <v/>
      </c>
      <c r="G48" s="15" t="str">
        <f ca="1">IF(E48="","",INDEX('3. Setup &amp; Role Data'!$G$9:$I$109,MATCH(E48,Role,0),3))</f>
        <v/>
      </c>
      <c r="H48" s="15" t="str">
        <f ca="1">IF(E48="","",INDEX('6. Role Evaluation'!$B$5:$G$104,MATCH(E48,Role,0),2))</f>
        <v/>
      </c>
      <c r="I48" s="15" t="str">
        <f ca="1">IF(E48="","",INDEX('6. Role Evaluation'!$B$5:$G$104,MATCH(E48,Role,0),3))</f>
        <v/>
      </c>
      <c r="J48" s="15" t="str">
        <f ca="1">IF(E48="","",INDEX('6. Role Evaluation'!$B$5:$G$104,MATCH(E48,Role,0),4))</f>
        <v/>
      </c>
      <c r="K48" s="15" t="str">
        <f ca="1">IF(E48="","",INDEX('6. Role Evaluation'!$B$5:$G$104,MATCH(E48,Role,0),6))</f>
        <v/>
      </c>
      <c r="L48" s="15" t="str">
        <f ca="1">IF(K48='Hidden-Menus'!$E$3,1,IF(K48='Hidden-Menus'!$E$5,-1,IF(K48='Hidden-Menus'!$E$4,0,"")))</f>
        <v/>
      </c>
      <c r="M48" s="15" t="str">
        <f ca="1">IF(E48="","",INDEX('6. Role Evaluation'!$B$5:$G$104,MATCH(E48,Role,0),5))</f>
        <v/>
      </c>
      <c r="N48" s="15">
        <f ca="1">IF(M48='Hidden-Menus'!$F$3,1,IF(M48='Hidden-Menus'!$F$5,-1,0))</f>
        <v>0</v>
      </c>
      <c r="O48" s="15" t="str">
        <f ca="1">IF('7. Demand &amp; Supply Forecast'!B55="","",F48+F48*'7. Demand &amp; Supply Forecast'!F55)</f>
        <v/>
      </c>
      <c r="P48" s="15" t="str">
        <f ca="1">IF('7. Demand &amp; Supply Forecast'!B55="","",O48+O48*'7. Demand &amp; Supply Forecast'!F55)</f>
        <v/>
      </c>
      <c r="Q48" s="15" t="str">
        <f ca="1">IF('7. Demand &amp; Supply Forecast'!B55="","",P48+P48*'7. Demand &amp; Supply Forecast'!F55)</f>
        <v/>
      </c>
      <c r="R48" s="15" t="str">
        <f ca="1">IF($E48="","",MROUND(O48*'7. Demand &amp; Supply Forecast'!K55,1000))</f>
        <v/>
      </c>
      <c r="S48" s="15" t="str">
        <f ca="1">IF($E48="","",MROUND(P48*'7. Demand &amp; Supply Forecast'!L55,1000))</f>
        <v/>
      </c>
      <c r="T48" s="15" t="str">
        <f ca="1">IF($E48="","",MROUND(Q48*'7. Demand &amp; Supply Forecast'!M55,1000))</f>
        <v/>
      </c>
      <c r="U48" s="15" t="str">
        <f ca="1">IF(E48="","",'7. Demand &amp; Supply Forecast'!Q55-'7. Demand &amp; Supply Forecast'!K55)</f>
        <v/>
      </c>
      <c r="V48" s="15" t="str">
        <f ca="1">IF(E48="","",'7. Demand &amp; Supply Forecast'!R55-'7. Demand &amp; Supply Forecast'!L55)</f>
        <v/>
      </c>
      <c r="W48" s="15" t="str">
        <f ca="1">IF(E48="","",'7. Demand &amp; Supply Forecast'!S55-'7. Demand &amp; Supply Forecast'!M55)</f>
        <v/>
      </c>
    </row>
    <row r="49" spans="2:23" x14ac:dyDescent="0.2">
      <c r="B49" s="15" t="str">
        <f>IF('3. Setup &amp; Role Data'!G55="","",'3. Setup &amp; Role Data'!G55)</f>
        <v/>
      </c>
      <c r="C49" s="15" t="str">
        <f>IF('6. Role Evaluation'!H51="","No",'6. Role Evaluation'!H51)</f>
        <v>No</v>
      </c>
      <c r="D49" s="15" t="str">
        <f t="shared" si="0"/>
        <v/>
      </c>
      <c r="E49" s="15" t="str">
        <f t="array" aca="1" ref="E49" ca="1">IFERROR(INDEX(Include,SMALL((IF(LEN(Include),ROW(INDIRECT("1:"&amp;ROWS(Include))))),ROW(B47)),1),"")</f>
        <v/>
      </c>
      <c r="F49" s="15" t="str">
        <f ca="1">IF(E49="","",INDEX('3. Setup &amp; Role Data'!$G$9:$I$109,MATCH(E49,Role,0),2))</f>
        <v/>
      </c>
      <c r="G49" s="15" t="str">
        <f ca="1">IF(E49="","",INDEX('3. Setup &amp; Role Data'!$G$9:$I$109,MATCH(E49,Role,0),3))</f>
        <v/>
      </c>
      <c r="H49" s="15" t="str">
        <f ca="1">IF(E49="","",INDEX('6. Role Evaluation'!$B$5:$G$104,MATCH(E49,Role,0),2))</f>
        <v/>
      </c>
      <c r="I49" s="15" t="str">
        <f ca="1">IF(E49="","",INDEX('6. Role Evaluation'!$B$5:$G$104,MATCH(E49,Role,0),3))</f>
        <v/>
      </c>
      <c r="J49" s="15" t="str">
        <f ca="1">IF(E49="","",INDEX('6. Role Evaluation'!$B$5:$G$104,MATCH(E49,Role,0),4))</f>
        <v/>
      </c>
      <c r="K49" s="15" t="str">
        <f ca="1">IF(E49="","",INDEX('6. Role Evaluation'!$B$5:$G$104,MATCH(E49,Role,0),6))</f>
        <v/>
      </c>
      <c r="L49" s="15" t="str">
        <f ca="1">IF(K49='Hidden-Menus'!$E$3,1,IF(K49='Hidden-Menus'!$E$5,-1,IF(K49='Hidden-Menus'!$E$4,0,"")))</f>
        <v/>
      </c>
      <c r="M49" s="15" t="str">
        <f ca="1">IF(E49="","",INDEX('6. Role Evaluation'!$B$5:$G$104,MATCH(E49,Role,0),5))</f>
        <v/>
      </c>
      <c r="N49" s="15">
        <f ca="1">IF(M49='Hidden-Menus'!$F$3,1,IF(M49='Hidden-Menus'!$F$5,-1,0))</f>
        <v>0</v>
      </c>
      <c r="O49" s="15" t="str">
        <f ca="1">IF('7. Demand &amp; Supply Forecast'!B56="","",F49+F49*'7. Demand &amp; Supply Forecast'!F56)</f>
        <v/>
      </c>
      <c r="P49" s="15" t="str">
        <f ca="1">IF('7. Demand &amp; Supply Forecast'!B56="","",O49+O49*'7. Demand &amp; Supply Forecast'!F56)</f>
        <v/>
      </c>
      <c r="Q49" s="15" t="str">
        <f ca="1">IF('7. Demand &amp; Supply Forecast'!B56="","",P49+P49*'7. Demand &amp; Supply Forecast'!F56)</f>
        <v/>
      </c>
      <c r="R49" s="15" t="str">
        <f ca="1">IF($E49="","",MROUND(O49*'7. Demand &amp; Supply Forecast'!K56,1000))</f>
        <v/>
      </c>
      <c r="S49" s="15" t="str">
        <f ca="1">IF($E49="","",MROUND(P49*'7. Demand &amp; Supply Forecast'!L56,1000))</f>
        <v/>
      </c>
      <c r="T49" s="15" t="str">
        <f ca="1">IF($E49="","",MROUND(Q49*'7. Demand &amp; Supply Forecast'!M56,1000))</f>
        <v/>
      </c>
      <c r="U49" s="15" t="str">
        <f ca="1">IF(E49="","",'7. Demand &amp; Supply Forecast'!Q56-'7. Demand &amp; Supply Forecast'!K56)</f>
        <v/>
      </c>
      <c r="V49" s="15" t="str">
        <f ca="1">IF(E49="","",'7. Demand &amp; Supply Forecast'!R56-'7. Demand &amp; Supply Forecast'!L56)</f>
        <v/>
      </c>
      <c r="W49" s="15" t="str">
        <f ca="1">IF(E49="","",'7. Demand &amp; Supply Forecast'!S56-'7. Demand &amp; Supply Forecast'!M56)</f>
        <v/>
      </c>
    </row>
    <row r="50" spans="2:23" x14ac:dyDescent="0.2">
      <c r="B50" s="15" t="str">
        <f>IF('3. Setup &amp; Role Data'!G56="","",'3. Setup &amp; Role Data'!G56)</f>
        <v/>
      </c>
      <c r="C50" s="15" t="str">
        <f>IF('6. Role Evaluation'!H52="","No",'6. Role Evaluation'!H52)</f>
        <v>No</v>
      </c>
      <c r="D50" s="15" t="str">
        <f t="shared" si="0"/>
        <v/>
      </c>
      <c r="E50" s="15" t="str">
        <f t="array" aca="1" ref="E50" ca="1">IFERROR(INDEX(Include,SMALL((IF(LEN(Include),ROW(INDIRECT("1:"&amp;ROWS(Include))))),ROW(B48)),1),"")</f>
        <v/>
      </c>
      <c r="F50" s="15" t="str">
        <f ca="1">IF(E50="","",INDEX('3. Setup &amp; Role Data'!$G$9:$I$109,MATCH(E50,Role,0),2))</f>
        <v/>
      </c>
      <c r="G50" s="15" t="str">
        <f ca="1">IF(E50="","",INDEX('3. Setup &amp; Role Data'!$G$9:$I$109,MATCH(E50,Role,0),3))</f>
        <v/>
      </c>
      <c r="H50" s="15" t="str">
        <f ca="1">IF(E50="","",INDEX('6. Role Evaluation'!$B$5:$G$104,MATCH(E50,Role,0),2))</f>
        <v/>
      </c>
      <c r="I50" s="15" t="str">
        <f ca="1">IF(E50="","",INDEX('6. Role Evaluation'!$B$5:$G$104,MATCH(E50,Role,0),3))</f>
        <v/>
      </c>
      <c r="J50" s="15" t="str">
        <f ca="1">IF(E50="","",INDEX('6. Role Evaluation'!$B$5:$G$104,MATCH(E50,Role,0),4))</f>
        <v/>
      </c>
      <c r="K50" s="15" t="str">
        <f ca="1">IF(E50="","",INDEX('6. Role Evaluation'!$B$5:$G$104,MATCH(E50,Role,0),6))</f>
        <v/>
      </c>
      <c r="L50" s="15" t="str">
        <f ca="1">IF(K50='Hidden-Menus'!$E$3,1,IF(K50='Hidden-Menus'!$E$5,-1,IF(K50='Hidden-Menus'!$E$4,0,"")))</f>
        <v/>
      </c>
      <c r="M50" s="15" t="str">
        <f ca="1">IF(E50="","",INDEX('6. Role Evaluation'!$B$5:$G$104,MATCH(E50,Role,0),5))</f>
        <v/>
      </c>
      <c r="N50" s="15">
        <f ca="1">IF(M50='Hidden-Menus'!$F$3,1,IF(M50='Hidden-Menus'!$F$5,-1,0))</f>
        <v>0</v>
      </c>
      <c r="O50" s="15" t="str">
        <f ca="1">IF('7. Demand &amp; Supply Forecast'!B57="","",F50+F50*'7. Demand &amp; Supply Forecast'!F57)</f>
        <v/>
      </c>
      <c r="P50" s="15" t="str">
        <f ca="1">IF('7. Demand &amp; Supply Forecast'!B57="","",O50+O50*'7. Demand &amp; Supply Forecast'!F57)</f>
        <v/>
      </c>
      <c r="Q50" s="15" t="str">
        <f ca="1">IF('7. Demand &amp; Supply Forecast'!B57="","",P50+P50*'7. Demand &amp; Supply Forecast'!F57)</f>
        <v/>
      </c>
      <c r="R50" s="15" t="str">
        <f ca="1">IF($E50="","",MROUND(O50*'7. Demand &amp; Supply Forecast'!K57,1000))</f>
        <v/>
      </c>
      <c r="S50" s="15" t="str">
        <f ca="1">IF($E50="","",MROUND(P50*'7. Demand &amp; Supply Forecast'!L57,1000))</f>
        <v/>
      </c>
      <c r="T50" s="15" t="str">
        <f ca="1">IF($E50="","",MROUND(Q50*'7. Demand &amp; Supply Forecast'!M57,1000))</f>
        <v/>
      </c>
      <c r="U50" s="15" t="str">
        <f ca="1">IF(E50="","",'7. Demand &amp; Supply Forecast'!Q57-'7. Demand &amp; Supply Forecast'!K57)</f>
        <v/>
      </c>
      <c r="V50" s="15" t="str">
        <f ca="1">IF(E50="","",'7. Demand &amp; Supply Forecast'!R57-'7. Demand &amp; Supply Forecast'!L57)</f>
        <v/>
      </c>
      <c r="W50" s="15" t="str">
        <f ca="1">IF(E50="","",'7. Demand &amp; Supply Forecast'!S57-'7. Demand &amp; Supply Forecast'!M57)</f>
        <v/>
      </c>
    </row>
    <row r="51" spans="2:23" x14ac:dyDescent="0.2">
      <c r="B51" s="15" t="str">
        <f>IF('3. Setup &amp; Role Data'!G57="","",'3. Setup &amp; Role Data'!G57)</f>
        <v/>
      </c>
      <c r="C51" s="15" t="str">
        <f>IF('6. Role Evaluation'!H53="","No",'6. Role Evaluation'!H53)</f>
        <v>No</v>
      </c>
      <c r="D51" s="15" t="str">
        <f t="shared" si="0"/>
        <v/>
      </c>
      <c r="E51" s="15" t="str">
        <f t="array" aca="1" ref="E51" ca="1">IFERROR(INDEX(Include,SMALL((IF(LEN(Include),ROW(INDIRECT("1:"&amp;ROWS(Include))))),ROW(B49)),1),"")</f>
        <v/>
      </c>
      <c r="F51" s="15" t="str">
        <f ca="1">IF(E51="","",INDEX('3. Setup &amp; Role Data'!$G$9:$I$109,MATCH(E51,Role,0),2))</f>
        <v/>
      </c>
      <c r="G51" s="15" t="str">
        <f ca="1">IF(E51="","",INDEX('3. Setup &amp; Role Data'!$G$9:$I$109,MATCH(E51,Role,0),3))</f>
        <v/>
      </c>
      <c r="H51" s="15" t="str">
        <f ca="1">IF(E51="","",INDEX('6. Role Evaluation'!$B$5:$G$104,MATCH(E51,Role,0),2))</f>
        <v/>
      </c>
      <c r="I51" s="15" t="str">
        <f ca="1">IF(E51="","",INDEX('6. Role Evaluation'!$B$5:$G$104,MATCH(E51,Role,0),3))</f>
        <v/>
      </c>
      <c r="J51" s="15" t="str">
        <f ca="1">IF(E51="","",INDEX('6. Role Evaluation'!$B$5:$G$104,MATCH(E51,Role,0),4))</f>
        <v/>
      </c>
      <c r="K51" s="15" t="str">
        <f ca="1">IF(E51="","",INDEX('6. Role Evaluation'!$B$5:$G$104,MATCH(E51,Role,0),6))</f>
        <v/>
      </c>
      <c r="L51" s="15" t="str">
        <f ca="1">IF(K51='Hidden-Menus'!$E$3,1,IF(K51='Hidden-Menus'!$E$5,-1,IF(K51='Hidden-Menus'!$E$4,0,"")))</f>
        <v/>
      </c>
      <c r="M51" s="15" t="str">
        <f ca="1">IF(E51="","",INDEX('6. Role Evaluation'!$B$5:$G$104,MATCH(E51,Role,0),5))</f>
        <v/>
      </c>
      <c r="N51" s="15">
        <f ca="1">IF(M51='Hidden-Menus'!$F$3,1,IF(M51='Hidden-Menus'!$F$5,-1,0))</f>
        <v>0</v>
      </c>
      <c r="O51" s="15" t="str">
        <f ca="1">IF('7. Demand &amp; Supply Forecast'!B58="","",F51+F51*'7. Demand &amp; Supply Forecast'!F58)</f>
        <v/>
      </c>
      <c r="P51" s="15" t="str">
        <f ca="1">IF('7. Demand &amp; Supply Forecast'!B58="","",O51+O51*'7. Demand &amp; Supply Forecast'!F58)</f>
        <v/>
      </c>
      <c r="Q51" s="15" t="str">
        <f ca="1">IF('7. Demand &amp; Supply Forecast'!B58="","",P51+P51*'7. Demand &amp; Supply Forecast'!F58)</f>
        <v/>
      </c>
      <c r="R51" s="15" t="str">
        <f ca="1">IF($E51="","",MROUND(O51*'7. Demand &amp; Supply Forecast'!K58,1000))</f>
        <v/>
      </c>
      <c r="S51" s="15" t="str">
        <f ca="1">IF($E51="","",MROUND(P51*'7. Demand &amp; Supply Forecast'!L58,1000))</f>
        <v/>
      </c>
      <c r="T51" s="15" t="str">
        <f ca="1">IF($E51="","",MROUND(Q51*'7. Demand &amp; Supply Forecast'!M58,1000))</f>
        <v/>
      </c>
      <c r="U51" s="15" t="str">
        <f ca="1">IF(E51="","",'7. Demand &amp; Supply Forecast'!Q58-'7. Demand &amp; Supply Forecast'!K58)</f>
        <v/>
      </c>
      <c r="V51" s="15" t="str">
        <f ca="1">IF(E51="","",'7. Demand &amp; Supply Forecast'!R58-'7. Demand &amp; Supply Forecast'!L58)</f>
        <v/>
      </c>
      <c r="W51" s="15" t="str">
        <f ca="1">IF(E51="","",'7. Demand &amp; Supply Forecast'!S58-'7. Demand &amp; Supply Forecast'!M58)</f>
        <v/>
      </c>
    </row>
    <row r="52" spans="2:23" x14ac:dyDescent="0.2">
      <c r="B52" s="15" t="str">
        <f>IF('3. Setup &amp; Role Data'!G58="","",'3. Setup &amp; Role Data'!G58)</f>
        <v/>
      </c>
      <c r="C52" s="15" t="str">
        <f>IF('6. Role Evaluation'!H54="","No",'6. Role Evaluation'!H54)</f>
        <v>No</v>
      </c>
      <c r="D52" s="15" t="str">
        <f t="shared" si="0"/>
        <v/>
      </c>
      <c r="E52" s="15" t="str">
        <f t="array" aca="1" ref="E52" ca="1">IFERROR(INDEX(Include,SMALL((IF(LEN(Include),ROW(INDIRECT("1:"&amp;ROWS(Include))))),ROW(B50)),1),"")</f>
        <v/>
      </c>
      <c r="F52" s="15" t="str">
        <f ca="1">IF(E52="","",INDEX('3. Setup &amp; Role Data'!$G$9:$I$109,MATCH(E52,Role,0),2))</f>
        <v/>
      </c>
      <c r="G52" s="15" t="str">
        <f ca="1">IF(E52="","",INDEX('3. Setup &amp; Role Data'!$G$9:$I$109,MATCH(E52,Role,0),3))</f>
        <v/>
      </c>
      <c r="H52" s="15" t="str">
        <f ca="1">IF(E52="","",INDEX('6. Role Evaluation'!$B$5:$G$104,MATCH(E52,Role,0),2))</f>
        <v/>
      </c>
      <c r="I52" s="15" t="str">
        <f ca="1">IF(E52="","",INDEX('6. Role Evaluation'!$B$5:$G$104,MATCH(E52,Role,0),3))</f>
        <v/>
      </c>
      <c r="J52" s="15" t="str">
        <f ca="1">IF(E52="","",INDEX('6. Role Evaluation'!$B$5:$G$104,MATCH(E52,Role,0),4))</f>
        <v/>
      </c>
      <c r="K52" s="15" t="str">
        <f ca="1">IF(E52="","",INDEX('6. Role Evaluation'!$B$5:$G$104,MATCH(E52,Role,0),6))</f>
        <v/>
      </c>
      <c r="L52" s="15" t="str">
        <f ca="1">IF(K52='Hidden-Menus'!$E$3,1,IF(K52='Hidden-Menus'!$E$5,-1,IF(K52='Hidden-Menus'!$E$4,0,"")))</f>
        <v/>
      </c>
      <c r="M52" s="15" t="str">
        <f ca="1">IF(E52="","",INDEX('6. Role Evaluation'!$B$5:$G$104,MATCH(E52,Role,0),5))</f>
        <v/>
      </c>
      <c r="N52" s="15">
        <f ca="1">IF(M52='Hidden-Menus'!$F$3,1,IF(M52='Hidden-Menus'!$F$5,-1,0))</f>
        <v>0</v>
      </c>
      <c r="O52" s="15" t="str">
        <f ca="1">IF('7. Demand &amp; Supply Forecast'!B59="","",F52+F52*'7. Demand &amp; Supply Forecast'!F59)</f>
        <v/>
      </c>
      <c r="P52" s="15" t="str">
        <f ca="1">IF('7. Demand &amp; Supply Forecast'!B59="","",O52+O52*'7. Demand &amp; Supply Forecast'!F59)</f>
        <v/>
      </c>
      <c r="Q52" s="15" t="str">
        <f ca="1">IF('7. Demand &amp; Supply Forecast'!B59="","",P52+P52*'7. Demand &amp; Supply Forecast'!F59)</f>
        <v/>
      </c>
      <c r="R52" s="15" t="str">
        <f ca="1">IF($E52="","",MROUND(O52*'7. Demand &amp; Supply Forecast'!K59,1000))</f>
        <v/>
      </c>
      <c r="S52" s="15" t="str">
        <f ca="1">IF($E52="","",MROUND(P52*'7. Demand &amp; Supply Forecast'!L59,1000))</f>
        <v/>
      </c>
      <c r="T52" s="15" t="str">
        <f ca="1">IF($E52="","",MROUND(Q52*'7. Demand &amp; Supply Forecast'!M59,1000))</f>
        <v/>
      </c>
      <c r="U52" s="15" t="str">
        <f ca="1">IF(E52="","",'7. Demand &amp; Supply Forecast'!Q59-'7. Demand &amp; Supply Forecast'!K59)</f>
        <v/>
      </c>
      <c r="V52" s="15" t="str">
        <f ca="1">IF(E52="","",'7. Demand &amp; Supply Forecast'!R59-'7. Demand &amp; Supply Forecast'!L59)</f>
        <v/>
      </c>
      <c r="W52" s="15" t="str">
        <f ca="1">IF(E52="","",'7. Demand &amp; Supply Forecast'!S59-'7. Demand &amp; Supply Forecast'!M59)</f>
        <v/>
      </c>
    </row>
    <row r="53" spans="2:23" x14ac:dyDescent="0.2">
      <c r="B53" s="15" t="str">
        <f>IF('3. Setup &amp; Role Data'!G59="","",'3. Setup &amp; Role Data'!G59)</f>
        <v/>
      </c>
      <c r="C53" s="15" t="str">
        <f>IF('6. Role Evaluation'!H55="","No",'6. Role Evaluation'!H55)</f>
        <v>No</v>
      </c>
      <c r="D53" s="15" t="str">
        <f t="shared" si="0"/>
        <v/>
      </c>
      <c r="E53" s="15" t="str">
        <f t="array" aca="1" ref="E53" ca="1">IFERROR(INDEX(Include,SMALL((IF(LEN(Include),ROW(INDIRECT("1:"&amp;ROWS(Include))))),ROW(B51)),1),"")</f>
        <v/>
      </c>
      <c r="F53" s="15" t="str">
        <f ca="1">IF(E53="","",INDEX('3. Setup &amp; Role Data'!$G$9:$I$109,MATCH(E53,Role,0),2))</f>
        <v/>
      </c>
      <c r="G53" s="15" t="str">
        <f ca="1">IF(E53="","",INDEX('3. Setup &amp; Role Data'!$G$9:$I$109,MATCH(E53,Role,0),3))</f>
        <v/>
      </c>
      <c r="H53" s="15" t="str">
        <f ca="1">IF(E53="","",INDEX('6. Role Evaluation'!$B$5:$G$104,MATCH(E53,Role,0),2))</f>
        <v/>
      </c>
      <c r="I53" s="15" t="str">
        <f ca="1">IF(E53="","",INDEX('6. Role Evaluation'!$B$5:$G$104,MATCH(E53,Role,0),3))</f>
        <v/>
      </c>
      <c r="J53" s="15" t="str">
        <f ca="1">IF(E53="","",INDEX('6. Role Evaluation'!$B$5:$G$104,MATCH(E53,Role,0),4))</f>
        <v/>
      </c>
      <c r="K53" s="15" t="str">
        <f ca="1">IF(E53="","",INDEX('6. Role Evaluation'!$B$5:$G$104,MATCH(E53,Role,0),6))</f>
        <v/>
      </c>
      <c r="L53" s="15" t="str">
        <f ca="1">IF(K53='Hidden-Menus'!$E$3,1,IF(K53='Hidden-Menus'!$E$5,-1,IF(K53='Hidden-Menus'!$E$4,0,"")))</f>
        <v/>
      </c>
      <c r="M53" s="15" t="str">
        <f ca="1">IF(E53="","",INDEX('6. Role Evaluation'!$B$5:$G$104,MATCH(E53,Role,0),5))</f>
        <v/>
      </c>
      <c r="N53" s="15">
        <f ca="1">IF(M53='Hidden-Menus'!$F$3,1,IF(M53='Hidden-Menus'!$F$5,-1,0))</f>
        <v>0</v>
      </c>
      <c r="O53" s="15" t="str">
        <f ca="1">IF('7. Demand &amp; Supply Forecast'!B60="","",F53+F53*'7. Demand &amp; Supply Forecast'!F60)</f>
        <v/>
      </c>
      <c r="P53" s="15" t="str">
        <f ca="1">IF('7. Demand &amp; Supply Forecast'!B60="","",O53+O53*'7. Demand &amp; Supply Forecast'!F60)</f>
        <v/>
      </c>
      <c r="Q53" s="15" t="str">
        <f ca="1">IF('7. Demand &amp; Supply Forecast'!B60="","",P53+P53*'7. Demand &amp; Supply Forecast'!F60)</f>
        <v/>
      </c>
      <c r="R53" s="15" t="str">
        <f ca="1">IF($E53="","",MROUND(O53*'7. Demand &amp; Supply Forecast'!K60,1000))</f>
        <v/>
      </c>
      <c r="S53" s="15" t="str">
        <f ca="1">IF($E53="","",MROUND(P53*'7. Demand &amp; Supply Forecast'!L60,1000))</f>
        <v/>
      </c>
      <c r="T53" s="15" t="str">
        <f ca="1">IF($E53="","",MROUND(Q53*'7. Demand &amp; Supply Forecast'!M60,1000))</f>
        <v/>
      </c>
      <c r="U53" s="15" t="str">
        <f ca="1">IF(E53="","",'7. Demand &amp; Supply Forecast'!Q60-'7. Demand &amp; Supply Forecast'!K60)</f>
        <v/>
      </c>
      <c r="V53" s="15" t="str">
        <f ca="1">IF(E53="","",'7. Demand &amp; Supply Forecast'!R60-'7. Demand &amp; Supply Forecast'!L60)</f>
        <v/>
      </c>
      <c r="W53" s="15" t="str">
        <f ca="1">IF(E53="","",'7. Demand &amp; Supply Forecast'!S60-'7. Demand &amp; Supply Forecast'!M60)</f>
        <v/>
      </c>
    </row>
    <row r="54" spans="2:23" x14ac:dyDescent="0.2">
      <c r="B54" s="15" t="str">
        <f>IF('3. Setup &amp; Role Data'!G60="","",'3. Setup &amp; Role Data'!G60)</f>
        <v/>
      </c>
      <c r="C54" s="15" t="str">
        <f>IF('6. Role Evaluation'!H56="","No",'6. Role Evaluation'!H56)</f>
        <v>No</v>
      </c>
      <c r="D54" s="15" t="str">
        <f t="shared" si="0"/>
        <v/>
      </c>
      <c r="E54" s="15" t="str">
        <f t="array" aca="1" ref="E54" ca="1">IFERROR(INDEX(Include,SMALL((IF(LEN(Include),ROW(INDIRECT("1:"&amp;ROWS(Include))))),ROW(B52)),1),"")</f>
        <v/>
      </c>
      <c r="F54" s="15" t="str">
        <f ca="1">IF(E54="","",INDEX('3. Setup &amp; Role Data'!$G$9:$I$109,MATCH(E54,Role,0),2))</f>
        <v/>
      </c>
      <c r="G54" s="15" t="str">
        <f ca="1">IF(E54="","",INDEX('3. Setup &amp; Role Data'!$G$9:$I$109,MATCH(E54,Role,0),3))</f>
        <v/>
      </c>
      <c r="H54" s="15" t="str">
        <f ca="1">IF(E54="","",INDEX('6. Role Evaluation'!$B$5:$G$104,MATCH(E54,Role,0),2))</f>
        <v/>
      </c>
      <c r="I54" s="15" t="str">
        <f ca="1">IF(E54="","",INDEX('6. Role Evaluation'!$B$5:$G$104,MATCH(E54,Role,0),3))</f>
        <v/>
      </c>
      <c r="J54" s="15" t="str">
        <f ca="1">IF(E54="","",INDEX('6. Role Evaluation'!$B$5:$G$104,MATCH(E54,Role,0),4))</f>
        <v/>
      </c>
      <c r="K54" s="15" t="str">
        <f ca="1">IF(E54="","",INDEX('6. Role Evaluation'!$B$5:$G$104,MATCH(E54,Role,0),6))</f>
        <v/>
      </c>
      <c r="L54" s="15" t="str">
        <f ca="1">IF(K54='Hidden-Menus'!$E$3,1,IF(K54='Hidden-Menus'!$E$5,-1,IF(K54='Hidden-Menus'!$E$4,0,"")))</f>
        <v/>
      </c>
      <c r="M54" s="15" t="str">
        <f ca="1">IF(E54="","",INDEX('6. Role Evaluation'!$B$5:$G$104,MATCH(E54,Role,0),5))</f>
        <v/>
      </c>
      <c r="N54" s="15">
        <f ca="1">IF(M54='Hidden-Menus'!$F$3,1,IF(M54='Hidden-Menus'!$F$5,-1,0))</f>
        <v>0</v>
      </c>
      <c r="O54" s="15" t="str">
        <f ca="1">IF('7. Demand &amp; Supply Forecast'!B61="","",F54+F54*'7. Demand &amp; Supply Forecast'!F61)</f>
        <v/>
      </c>
      <c r="P54" s="15" t="str">
        <f ca="1">IF('7. Demand &amp; Supply Forecast'!B61="","",O54+O54*'7. Demand &amp; Supply Forecast'!F61)</f>
        <v/>
      </c>
      <c r="Q54" s="15" t="str">
        <f ca="1">IF('7. Demand &amp; Supply Forecast'!B61="","",P54+P54*'7. Demand &amp; Supply Forecast'!F61)</f>
        <v/>
      </c>
      <c r="R54" s="15" t="str">
        <f ca="1">IF($E54="","",MROUND(O54*'7. Demand &amp; Supply Forecast'!K61,1000))</f>
        <v/>
      </c>
      <c r="S54" s="15" t="str">
        <f ca="1">IF($E54="","",MROUND(P54*'7. Demand &amp; Supply Forecast'!L61,1000))</f>
        <v/>
      </c>
      <c r="T54" s="15" t="str">
        <f ca="1">IF($E54="","",MROUND(Q54*'7. Demand &amp; Supply Forecast'!M61,1000))</f>
        <v/>
      </c>
      <c r="U54" s="15" t="str">
        <f ca="1">IF(E54="","",'7. Demand &amp; Supply Forecast'!Q61-'7. Demand &amp; Supply Forecast'!K61)</f>
        <v/>
      </c>
      <c r="V54" s="15" t="str">
        <f ca="1">IF(E54="","",'7. Demand &amp; Supply Forecast'!R61-'7. Demand &amp; Supply Forecast'!L61)</f>
        <v/>
      </c>
      <c r="W54" s="15" t="str">
        <f ca="1">IF(E54="","",'7. Demand &amp; Supply Forecast'!S61-'7. Demand &amp; Supply Forecast'!M61)</f>
        <v/>
      </c>
    </row>
    <row r="55" spans="2:23" x14ac:dyDescent="0.2">
      <c r="B55" s="15" t="str">
        <f>IF('3. Setup &amp; Role Data'!G61="","",'3. Setup &amp; Role Data'!G61)</f>
        <v/>
      </c>
      <c r="C55" s="15" t="str">
        <f>IF('6. Role Evaluation'!H57="","No",'6. Role Evaluation'!H57)</f>
        <v>No</v>
      </c>
      <c r="D55" s="15" t="str">
        <f t="shared" si="0"/>
        <v/>
      </c>
      <c r="E55" s="15" t="str">
        <f t="array" aca="1" ref="E55" ca="1">IFERROR(INDEX(Include,SMALL((IF(LEN(Include),ROW(INDIRECT("1:"&amp;ROWS(Include))))),ROW(B53)),1),"")</f>
        <v/>
      </c>
      <c r="F55" s="15" t="str">
        <f ca="1">IF(E55="","",INDEX('3. Setup &amp; Role Data'!$G$9:$I$109,MATCH(E55,Role,0),2))</f>
        <v/>
      </c>
      <c r="G55" s="15" t="str">
        <f ca="1">IF(E55="","",INDEX('3. Setup &amp; Role Data'!$G$9:$I$109,MATCH(E55,Role,0),3))</f>
        <v/>
      </c>
      <c r="H55" s="15" t="str">
        <f ca="1">IF(E55="","",INDEX('6. Role Evaluation'!$B$5:$G$104,MATCH(E55,Role,0),2))</f>
        <v/>
      </c>
      <c r="I55" s="15" t="str">
        <f ca="1">IF(E55="","",INDEX('6. Role Evaluation'!$B$5:$G$104,MATCH(E55,Role,0),3))</f>
        <v/>
      </c>
      <c r="J55" s="15" t="str">
        <f ca="1">IF(E55="","",INDEX('6. Role Evaluation'!$B$5:$G$104,MATCH(E55,Role,0),4))</f>
        <v/>
      </c>
      <c r="K55" s="15" t="str">
        <f ca="1">IF(E55="","",INDEX('6. Role Evaluation'!$B$5:$G$104,MATCH(E55,Role,0),6))</f>
        <v/>
      </c>
      <c r="L55" s="15" t="str">
        <f ca="1">IF(K55='Hidden-Menus'!$E$3,1,IF(K55='Hidden-Menus'!$E$5,-1,IF(K55='Hidden-Menus'!$E$4,0,"")))</f>
        <v/>
      </c>
      <c r="M55" s="15" t="str">
        <f ca="1">IF(E55="","",INDEX('6. Role Evaluation'!$B$5:$G$104,MATCH(E55,Role,0),5))</f>
        <v/>
      </c>
      <c r="N55" s="15">
        <f ca="1">IF(M55='Hidden-Menus'!$F$3,1,IF(M55='Hidden-Menus'!$F$5,-1,0))</f>
        <v>0</v>
      </c>
      <c r="O55" s="15" t="str">
        <f ca="1">IF('7. Demand &amp; Supply Forecast'!B62="","",F55+F55*'7. Demand &amp; Supply Forecast'!F62)</f>
        <v/>
      </c>
      <c r="P55" s="15" t="str">
        <f ca="1">IF('7. Demand &amp; Supply Forecast'!B62="","",O55+O55*'7. Demand &amp; Supply Forecast'!F62)</f>
        <v/>
      </c>
      <c r="Q55" s="15" t="str">
        <f ca="1">IF('7. Demand &amp; Supply Forecast'!B62="","",P55+P55*'7. Demand &amp; Supply Forecast'!F62)</f>
        <v/>
      </c>
      <c r="R55" s="15" t="str">
        <f ca="1">IF($E55="","",MROUND(O55*'7. Demand &amp; Supply Forecast'!K62,1000))</f>
        <v/>
      </c>
      <c r="S55" s="15" t="str">
        <f ca="1">IF($E55="","",MROUND(P55*'7. Demand &amp; Supply Forecast'!L62,1000))</f>
        <v/>
      </c>
      <c r="T55" s="15" t="str">
        <f ca="1">IF($E55="","",MROUND(Q55*'7. Demand &amp; Supply Forecast'!M62,1000))</f>
        <v/>
      </c>
      <c r="U55" s="15" t="str">
        <f ca="1">IF(E55="","",'7. Demand &amp; Supply Forecast'!Q62-'7. Demand &amp; Supply Forecast'!K62)</f>
        <v/>
      </c>
      <c r="V55" s="15" t="str">
        <f ca="1">IF(E55="","",'7. Demand &amp; Supply Forecast'!R62-'7. Demand &amp; Supply Forecast'!L62)</f>
        <v/>
      </c>
      <c r="W55" s="15" t="str">
        <f ca="1">IF(E55="","",'7. Demand &amp; Supply Forecast'!S62-'7. Demand &amp; Supply Forecast'!M62)</f>
        <v/>
      </c>
    </row>
    <row r="56" spans="2:23" x14ac:dyDescent="0.2">
      <c r="B56" s="15" t="str">
        <f>IF('3. Setup &amp; Role Data'!G62="","",'3. Setup &amp; Role Data'!G62)</f>
        <v/>
      </c>
      <c r="C56" s="15" t="str">
        <f>IF('6. Role Evaluation'!H58="","No",'6. Role Evaluation'!H58)</f>
        <v>No</v>
      </c>
      <c r="D56" s="15" t="str">
        <f t="shared" si="0"/>
        <v/>
      </c>
      <c r="E56" s="15" t="str">
        <f t="array" aca="1" ref="E56" ca="1">IFERROR(INDEX(Include,SMALL((IF(LEN(Include),ROW(INDIRECT("1:"&amp;ROWS(Include))))),ROW(B54)),1),"")</f>
        <v/>
      </c>
      <c r="F56" s="15" t="str">
        <f ca="1">IF(E56="","",INDEX('3. Setup &amp; Role Data'!$G$9:$I$109,MATCH(E56,Role,0),2))</f>
        <v/>
      </c>
      <c r="G56" s="15" t="str">
        <f ca="1">IF(E56="","",INDEX('3. Setup &amp; Role Data'!$G$9:$I$109,MATCH(E56,Role,0),3))</f>
        <v/>
      </c>
      <c r="H56" s="15" t="str">
        <f ca="1">IF(E56="","",INDEX('6. Role Evaluation'!$B$5:$G$104,MATCH(E56,Role,0),2))</f>
        <v/>
      </c>
      <c r="I56" s="15" t="str">
        <f ca="1">IF(E56="","",INDEX('6. Role Evaluation'!$B$5:$G$104,MATCH(E56,Role,0),3))</f>
        <v/>
      </c>
      <c r="J56" s="15" t="str">
        <f ca="1">IF(E56="","",INDEX('6. Role Evaluation'!$B$5:$G$104,MATCH(E56,Role,0),4))</f>
        <v/>
      </c>
      <c r="K56" s="15" t="str">
        <f ca="1">IF(E56="","",INDEX('6. Role Evaluation'!$B$5:$G$104,MATCH(E56,Role,0),6))</f>
        <v/>
      </c>
      <c r="L56" s="15" t="str">
        <f ca="1">IF(K56='Hidden-Menus'!$E$3,1,IF(K56='Hidden-Menus'!$E$5,-1,IF(K56='Hidden-Menus'!$E$4,0,"")))</f>
        <v/>
      </c>
      <c r="M56" s="15" t="str">
        <f ca="1">IF(E56="","",INDEX('6. Role Evaluation'!$B$5:$G$104,MATCH(E56,Role,0),5))</f>
        <v/>
      </c>
      <c r="N56" s="15">
        <f ca="1">IF(M56='Hidden-Menus'!$F$3,1,IF(M56='Hidden-Menus'!$F$5,-1,0))</f>
        <v>0</v>
      </c>
      <c r="O56" s="15" t="str">
        <f ca="1">IF('7. Demand &amp; Supply Forecast'!B63="","",F56+F56*'7. Demand &amp; Supply Forecast'!F63)</f>
        <v/>
      </c>
      <c r="P56" s="15" t="str">
        <f ca="1">IF('7. Demand &amp; Supply Forecast'!B63="","",O56+O56*'7. Demand &amp; Supply Forecast'!F63)</f>
        <v/>
      </c>
      <c r="Q56" s="15" t="str">
        <f ca="1">IF('7. Demand &amp; Supply Forecast'!B63="","",P56+P56*'7. Demand &amp; Supply Forecast'!F63)</f>
        <v/>
      </c>
      <c r="R56" s="15" t="str">
        <f ca="1">IF($E56="","",MROUND(O56*'7. Demand &amp; Supply Forecast'!K63,1000))</f>
        <v/>
      </c>
      <c r="S56" s="15" t="str">
        <f ca="1">IF($E56="","",MROUND(P56*'7. Demand &amp; Supply Forecast'!L63,1000))</f>
        <v/>
      </c>
      <c r="T56" s="15" t="str">
        <f ca="1">IF($E56="","",MROUND(Q56*'7. Demand &amp; Supply Forecast'!M63,1000))</f>
        <v/>
      </c>
      <c r="U56" s="15" t="str">
        <f ca="1">IF(E56="","",'7. Demand &amp; Supply Forecast'!Q63-'7. Demand &amp; Supply Forecast'!K63)</f>
        <v/>
      </c>
      <c r="V56" s="15" t="str">
        <f ca="1">IF(E56="","",'7. Demand &amp; Supply Forecast'!R63-'7. Demand &amp; Supply Forecast'!L63)</f>
        <v/>
      </c>
      <c r="W56" s="15" t="str">
        <f ca="1">IF(E56="","",'7. Demand &amp; Supply Forecast'!S63-'7. Demand &amp; Supply Forecast'!M63)</f>
        <v/>
      </c>
    </row>
    <row r="57" spans="2:23" x14ac:dyDescent="0.2">
      <c r="B57" s="15" t="str">
        <f>IF('3. Setup &amp; Role Data'!G63="","",'3. Setup &amp; Role Data'!G63)</f>
        <v/>
      </c>
      <c r="C57" s="15" t="str">
        <f>IF('6. Role Evaluation'!H59="","No",'6. Role Evaluation'!H59)</f>
        <v>No</v>
      </c>
      <c r="D57" s="15" t="str">
        <f t="shared" si="0"/>
        <v/>
      </c>
      <c r="E57" s="15" t="str">
        <f t="array" aca="1" ref="E57" ca="1">IFERROR(INDEX(Include,SMALL((IF(LEN(Include),ROW(INDIRECT("1:"&amp;ROWS(Include))))),ROW(B55)),1),"")</f>
        <v/>
      </c>
      <c r="F57" s="15" t="str">
        <f ca="1">IF(E57="","",INDEX('3. Setup &amp; Role Data'!$G$9:$I$109,MATCH(E57,Role,0),2))</f>
        <v/>
      </c>
      <c r="G57" s="15" t="str">
        <f ca="1">IF(E57="","",INDEX('3. Setup &amp; Role Data'!$G$9:$I$109,MATCH(E57,Role,0),3))</f>
        <v/>
      </c>
      <c r="H57" s="15" t="str">
        <f ca="1">IF(E57="","",INDEX('6. Role Evaluation'!$B$5:$G$104,MATCH(E57,Role,0),2))</f>
        <v/>
      </c>
      <c r="I57" s="15" t="str">
        <f ca="1">IF(E57="","",INDEX('6. Role Evaluation'!$B$5:$G$104,MATCH(E57,Role,0),3))</f>
        <v/>
      </c>
      <c r="J57" s="15" t="str">
        <f ca="1">IF(E57="","",INDEX('6. Role Evaluation'!$B$5:$G$104,MATCH(E57,Role,0),4))</f>
        <v/>
      </c>
      <c r="K57" s="15" t="str">
        <f ca="1">IF(E57="","",INDEX('6. Role Evaluation'!$B$5:$G$104,MATCH(E57,Role,0),6))</f>
        <v/>
      </c>
      <c r="L57" s="15" t="str">
        <f ca="1">IF(K57='Hidden-Menus'!$E$3,1,IF(K57='Hidden-Menus'!$E$5,-1,IF(K57='Hidden-Menus'!$E$4,0,"")))</f>
        <v/>
      </c>
      <c r="M57" s="15" t="str">
        <f ca="1">IF(E57="","",INDEX('6. Role Evaluation'!$B$5:$G$104,MATCH(E57,Role,0),5))</f>
        <v/>
      </c>
      <c r="N57" s="15">
        <f ca="1">IF(M57='Hidden-Menus'!$F$3,1,IF(M57='Hidden-Menus'!$F$5,-1,0))</f>
        <v>0</v>
      </c>
      <c r="O57" s="15" t="str">
        <f ca="1">IF('7. Demand &amp; Supply Forecast'!B64="","",F57+F57*'7. Demand &amp; Supply Forecast'!F64)</f>
        <v/>
      </c>
      <c r="P57" s="15" t="str">
        <f ca="1">IF('7. Demand &amp; Supply Forecast'!B64="","",O57+O57*'7. Demand &amp; Supply Forecast'!F64)</f>
        <v/>
      </c>
      <c r="Q57" s="15" t="str">
        <f ca="1">IF('7. Demand &amp; Supply Forecast'!B64="","",P57+P57*'7. Demand &amp; Supply Forecast'!F64)</f>
        <v/>
      </c>
      <c r="R57" s="15" t="str">
        <f ca="1">IF($E57="","",MROUND(O57*'7. Demand &amp; Supply Forecast'!K64,1000))</f>
        <v/>
      </c>
      <c r="S57" s="15" t="str">
        <f ca="1">IF($E57="","",MROUND(P57*'7. Demand &amp; Supply Forecast'!L64,1000))</f>
        <v/>
      </c>
      <c r="T57" s="15" t="str">
        <f ca="1">IF($E57="","",MROUND(Q57*'7. Demand &amp; Supply Forecast'!M64,1000))</f>
        <v/>
      </c>
      <c r="U57" s="15" t="str">
        <f ca="1">IF(E57="","",'7. Demand &amp; Supply Forecast'!Q64-'7. Demand &amp; Supply Forecast'!K64)</f>
        <v/>
      </c>
      <c r="V57" s="15" t="str">
        <f ca="1">IF(E57="","",'7. Demand &amp; Supply Forecast'!R64-'7. Demand &amp; Supply Forecast'!L64)</f>
        <v/>
      </c>
      <c r="W57" s="15" t="str">
        <f ca="1">IF(E57="","",'7. Demand &amp; Supply Forecast'!S64-'7. Demand &amp; Supply Forecast'!M64)</f>
        <v/>
      </c>
    </row>
    <row r="58" spans="2:23" x14ac:dyDescent="0.2">
      <c r="B58" s="15" t="str">
        <f>IF('3. Setup &amp; Role Data'!G64="","",'3. Setup &amp; Role Data'!G64)</f>
        <v/>
      </c>
      <c r="C58" s="15" t="str">
        <f>IF('6. Role Evaluation'!H60="","No",'6. Role Evaluation'!H60)</f>
        <v>No</v>
      </c>
      <c r="D58" s="15" t="str">
        <f t="shared" si="0"/>
        <v/>
      </c>
      <c r="E58" s="15" t="str">
        <f t="array" aca="1" ref="E58" ca="1">IFERROR(INDEX(Include,SMALL((IF(LEN(Include),ROW(INDIRECT("1:"&amp;ROWS(Include))))),ROW(B56)),1),"")</f>
        <v/>
      </c>
      <c r="F58" s="15" t="str">
        <f ca="1">IF(E58="","",INDEX('3. Setup &amp; Role Data'!$G$9:$I$109,MATCH(E58,Role,0),2))</f>
        <v/>
      </c>
      <c r="G58" s="15" t="str">
        <f ca="1">IF(E58="","",INDEX('3. Setup &amp; Role Data'!$G$9:$I$109,MATCH(E58,Role,0),3))</f>
        <v/>
      </c>
      <c r="H58" s="15" t="str">
        <f ca="1">IF(E58="","",INDEX('6. Role Evaluation'!$B$5:$G$104,MATCH(E58,Role,0),2))</f>
        <v/>
      </c>
      <c r="I58" s="15" t="str">
        <f ca="1">IF(E58="","",INDEX('6. Role Evaluation'!$B$5:$G$104,MATCH(E58,Role,0),3))</f>
        <v/>
      </c>
      <c r="J58" s="15" t="str">
        <f ca="1">IF(E58="","",INDEX('6. Role Evaluation'!$B$5:$G$104,MATCH(E58,Role,0),4))</f>
        <v/>
      </c>
      <c r="K58" s="15" t="str">
        <f ca="1">IF(E58="","",INDEX('6. Role Evaluation'!$B$5:$G$104,MATCH(E58,Role,0),6))</f>
        <v/>
      </c>
      <c r="L58" s="15" t="str">
        <f ca="1">IF(K58='Hidden-Menus'!$E$3,1,IF(K58='Hidden-Menus'!$E$5,-1,IF(K58='Hidden-Menus'!$E$4,0,"")))</f>
        <v/>
      </c>
      <c r="M58" s="15" t="str">
        <f ca="1">IF(E58="","",INDEX('6. Role Evaluation'!$B$5:$G$104,MATCH(E58,Role,0),5))</f>
        <v/>
      </c>
      <c r="N58" s="15">
        <f ca="1">IF(M58='Hidden-Menus'!$F$3,1,IF(M58='Hidden-Menus'!$F$5,-1,0))</f>
        <v>0</v>
      </c>
      <c r="O58" s="15" t="str">
        <f ca="1">IF('7. Demand &amp; Supply Forecast'!B65="","",F58+F58*'7. Demand &amp; Supply Forecast'!F65)</f>
        <v/>
      </c>
      <c r="P58" s="15" t="str">
        <f ca="1">IF('7. Demand &amp; Supply Forecast'!B65="","",O58+O58*'7. Demand &amp; Supply Forecast'!F65)</f>
        <v/>
      </c>
      <c r="Q58" s="15" t="str">
        <f ca="1">IF('7. Demand &amp; Supply Forecast'!B65="","",P58+P58*'7. Demand &amp; Supply Forecast'!F65)</f>
        <v/>
      </c>
      <c r="R58" s="15" t="str">
        <f ca="1">IF($E58="","",MROUND(O58*'7. Demand &amp; Supply Forecast'!K65,1000))</f>
        <v/>
      </c>
      <c r="S58" s="15" t="str">
        <f ca="1">IF($E58="","",MROUND(P58*'7. Demand &amp; Supply Forecast'!L65,1000))</f>
        <v/>
      </c>
      <c r="T58" s="15" t="str">
        <f ca="1">IF($E58="","",MROUND(Q58*'7. Demand &amp; Supply Forecast'!M65,1000))</f>
        <v/>
      </c>
      <c r="U58" s="15" t="str">
        <f ca="1">IF(E58="","",'7. Demand &amp; Supply Forecast'!Q65-'7. Demand &amp; Supply Forecast'!K65)</f>
        <v/>
      </c>
      <c r="V58" s="15" t="str">
        <f ca="1">IF(E58="","",'7. Demand &amp; Supply Forecast'!R65-'7. Demand &amp; Supply Forecast'!L65)</f>
        <v/>
      </c>
      <c r="W58" s="15" t="str">
        <f ca="1">IF(E58="","",'7. Demand &amp; Supply Forecast'!S65-'7. Demand &amp; Supply Forecast'!M65)</f>
        <v/>
      </c>
    </row>
    <row r="59" spans="2:23" x14ac:dyDescent="0.2">
      <c r="B59" s="15" t="str">
        <f>IF('3. Setup &amp; Role Data'!G65="","",'3. Setup &amp; Role Data'!G65)</f>
        <v/>
      </c>
      <c r="C59" s="15" t="str">
        <f>IF('6. Role Evaluation'!H61="","No",'6. Role Evaluation'!H61)</f>
        <v>No</v>
      </c>
      <c r="D59" s="15" t="str">
        <f t="shared" si="0"/>
        <v/>
      </c>
      <c r="E59" s="15" t="str">
        <f t="array" aca="1" ref="E59" ca="1">IFERROR(INDEX(Include,SMALL((IF(LEN(Include),ROW(INDIRECT("1:"&amp;ROWS(Include))))),ROW(B57)),1),"")</f>
        <v/>
      </c>
      <c r="F59" s="15" t="str">
        <f ca="1">IF(E59="","",INDEX('3. Setup &amp; Role Data'!$G$9:$I$109,MATCH(E59,Role,0),2))</f>
        <v/>
      </c>
      <c r="G59" s="15" t="str">
        <f ca="1">IF(E59="","",INDEX('3. Setup &amp; Role Data'!$G$9:$I$109,MATCH(E59,Role,0),3))</f>
        <v/>
      </c>
      <c r="H59" s="15" t="str">
        <f ca="1">IF(E59="","",INDEX('6. Role Evaluation'!$B$5:$G$104,MATCH(E59,Role,0),2))</f>
        <v/>
      </c>
      <c r="I59" s="15" t="str">
        <f ca="1">IF(E59="","",INDEX('6. Role Evaluation'!$B$5:$G$104,MATCH(E59,Role,0),3))</f>
        <v/>
      </c>
      <c r="J59" s="15" t="str">
        <f ca="1">IF(E59="","",INDEX('6. Role Evaluation'!$B$5:$G$104,MATCH(E59,Role,0),4))</f>
        <v/>
      </c>
      <c r="K59" s="15" t="str">
        <f ca="1">IF(E59="","",INDEX('6. Role Evaluation'!$B$5:$G$104,MATCH(E59,Role,0),6))</f>
        <v/>
      </c>
      <c r="L59" s="15" t="str">
        <f ca="1">IF(K59='Hidden-Menus'!$E$3,1,IF(K59='Hidden-Menus'!$E$5,-1,IF(K59='Hidden-Menus'!$E$4,0,"")))</f>
        <v/>
      </c>
      <c r="M59" s="15" t="str">
        <f ca="1">IF(E59="","",INDEX('6. Role Evaluation'!$B$5:$G$104,MATCH(E59,Role,0),5))</f>
        <v/>
      </c>
      <c r="N59" s="15">
        <f ca="1">IF(M59='Hidden-Menus'!$F$3,1,IF(M59='Hidden-Menus'!$F$5,-1,0))</f>
        <v>0</v>
      </c>
      <c r="O59" s="15" t="str">
        <f ca="1">IF('7. Demand &amp; Supply Forecast'!B66="","",F59+F59*'7. Demand &amp; Supply Forecast'!F66)</f>
        <v/>
      </c>
      <c r="P59" s="15" t="str">
        <f ca="1">IF('7. Demand &amp; Supply Forecast'!B66="","",O59+O59*'7. Demand &amp; Supply Forecast'!F66)</f>
        <v/>
      </c>
      <c r="Q59" s="15" t="str">
        <f ca="1">IF('7. Demand &amp; Supply Forecast'!B66="","",P59+P59*'7. Demand &amp; Supply Forecast'!F66)</f>
        <v/>
      </c>
      <c r="R59" s="15" t="str">
        <f ca="1">IF($E59="","",MROUND(O59*'7. Demand &amp; Supply Forecast'!K66,1000))</f>
        <v/>
      </c>
      <c r="S59" s="15" t="str">
        <f ca="1">IF($E59="","",MROUND(P59*'7. Demand &amp; Supply Forecast'!L66,1000))</f>
        <v/>
      </c>
      <c r="T59" s="15" t="str">
        <f ca="1">IF($E59="","",MROUND(Q59*'7. Demand &amp; Supply Forecast'!M66,1000))</f>
        <v/>
      </c>
      <c r="U59" s="15" t="str">
        <f ca="1">IF(E59="","",'7. Demand &amp; Supply Forecast'!Q66-'7. Demand &amp; Supply Forecast'!K66)</f>
        <v/>
      </c>
      <c r="V59" s="15" t="str">
        <f ca="1">IF(E59="","",'7. Demand &amp; Supply Forecast'!R66-'7. Demand &amp; Supply Forecast'!L66)</f>
        <v/>
      </c>
      <c r="W59" s="15" t="str">
        <f ca="1">IF(E59="","",'7. Demand &amp; Supply Forecast'!S66-'7. Demand &amp; Supply Forecast'!M66)</f>
        <v/>
      </c>
    </row>
    <row r="60" spans="2:23" x14ac:dyDescent="0.2">
      <c r="B60" s="15" t="str">
        <f>IF('3. Setup &amp; Role Data'!G66="","",'3. Setup &amp; Role Data'!G66)</f>
        <v/>
      </c>
      <c r="C60" s="15" t="str">
        <f>IF('6. Role Evaluation'!H62="","No",'6. Role Evaluation'!H62)</f>
        <v>No</v>
      </c>
      <c r="D60" s="15" t="str">
        <f t="shared" si="0"/>
        <v/>
      </c>
      <c r="E60" s="15" t="str">
        <f t="array" aca="1" ref="E60" ca="1">IFERROR(INDEX(Include,SMALL((IF(LEN(Include),ROW(INDIRECT("1:"&amp;ROWS(Include))))),ROW(B58)),1),"")</f>
        <v/>
      </c>
      <c r="F60" s="15" t="str">
        <f ca="1">IF(E60="","",INDEX('3. Setup &amp; Role Data'!$G$9:$I$109,MATCH(E60,Role,0),2))</f>
        <v/>
      </c>
      <c r="G60" s="15" t="str">
        <f ca="1">IF(E60="","",INDEX('3. Setup &amp; Role Data'!$G$9:$I$109,MATCH(E60,Role,0),3))</f>
        <v/>
      </c>
      <c r="H60" s="15" t="str">
        <f ca="1">IF(E60="","",INDEX('6. Role Evaluation'!$B$5:$G$104,MATCH(E60,Role,0),2))</f>
        <v/>
      </c>
      <c r="I60" s="15" t="str">
        <f ca="1">IF(E60="","",INDEX('6. Role Evaluation'!$B$5:$G$104,MATCH(E60,Role,0),3))</f>
        <v/>
      </c>
      <c r="J60" s="15" t="str">
        <f ca="1">IF(E60="","",INDEX('6. Role Evaluation'!$B$5:$G$104,MATCH(E60,Role,0),4))</f>
        <v/>
      </c>
      <c r="K60" s="15" t="str">
        <f ca="1">IF(E60="","",INDEX('6. Role Evaluation'!$B$5:$G$104,MATCH(E60,Role,0),6))</f>
        <v/>
      </c>
      <c r="L60" s="15" t="str">
        <f ca="1">IF(K60='Hidden-Menus'!$E$3,1,IF(K60='Hidden-Menus'!$E$5,-1,IF(K60='Hidden-Menus'!$E$4,0,"")))</f>
        <v/>
      </c>
      <c r="M60" s="15" t="str">
        <f ca="1">IF(E60="","",INDEX('6. Role Evaluation'!$B$5:$G$104,MATCH(E60,Role,0),5))</f>
        <v/>
      </c>
      <c r="N60" s="15">
        <f ca="1">IF(M60='Hidden-Menus'!$F$3,1,IF(M60='Hidden-Menus'!$F$5,-1,0))</f>
        <v>0</v>
      </c>
      <c r="O60" s="15" t="str">
        <f ca="1">IF('7. Demand &amp; Supply Forecast'!B67="","",F60+F60*'7. Demand &amp; Supply Forecast'!F67)</f>
        <v/>
      </c>
      <c r="P60" s="15" t="str">
        <f ca="1">IF('7. Demand &amp; Supply Forecast'!B67="","",O60+O60*'7. Demand &amp; Supply Forecast'!F67)</f>
        <v/>
      </c>
      <c r="Q60" s="15" t="str">
        <f ca="1">IF('7. Demand &amp; Supply Forecast'!B67="","",P60+P60*'7. Demand &amp; Supply Forecast'!F67)</f>
        <v/>
      </c>
      <c r="R60" s="15" t="str">
        <f ca="1">IF($E60="","",MROUND(O60*'7. Demand &amp; Supply Forecast'!K67,1000))</f>
        <v/>
      </c>
      <c r="S60" s="15" t="str">
        <f ca="1">IF($E60="","",MROUND(P60*'7. Demand &amp; Supply Forecast'!L67,1000))</f>
        <v/>
      </c>
      <c r="T60" s="15" t="str">
        <f ca="1">IF($E60="","",MROUND(Q60*'7. Demand &amp; Supply Forecast'!M67,1000))</f>
        <v/>
      </c>
      <c r="U60" s="15" t="str">
        <f ca="1">IF(E60="","",'7. Demand &amp; Supply Forecast'!Q67-'7. Demand &amp; Supply Forecast'!K67)</f>
        <v/>
      </c>
      <c r="V60" s="15" t="str">
        <f ca="1">IF(E60="","",'7. Demand &amp; Supply Forecast'!R67-'7. Demand &amp; Supply Forecast'!L67)</f>
        <v/>
      </c>
      <c r="W60" s="15" t="str">
        <f ca="1">IF(E60="","",'7. Demand &amp; Supply Forecast'!S67-'7. Demand &amp; Supply Forecast'!M67)</f>
        <v/>
      </c>
    </row>
    <row r="61" spans="2:23" x14ac:dyDescent="0.2">
      <c r="B61" s="15" t="str">
        <f>IF('3. Setup &amp; Role Data'!G67="","",'3. Setup &amp; Role Data'!G67)</f>
        <v/>
      </c>
      <c r="C61" s="15" t="str">
        <f>IF('6. Role Evaluation'!H63="","No",'6. Role Evaluation'!H63)</f>
        <v>No</v>
      </c>
      <c r="D61" s="15" t="str">
        <f t="shared" si="0"/>
        <v/>
      </c>
      <c r="E61" s="15" t="str">
        <f t="array" aca="1" ref="E61" ca="1">IFERROR(INDEX(Include,SMALL((IF(LEN(Include),ROW(INDIRECT("1:"&amp;ROWS(Include))))),ROW(B59)),1),"")</f>
        <v/>
      </c>
      <c r="F61" s="15" t="str">
        <f ca="1">IF(E61="","",INDEX('3. Setup &amp; Role Data'!$G$9:$I$109,MATCH(E61,Role,0),2))</f>
        <v/>
      </c>
      <c r="G61" s="15" t="str">
        <f ca="1">IF(E61="","",INDEX('3. Setup &amp; Role Data'!$G$9:$I$109,MATCH(E61,Role,0),3))</f>
        <v/>
      </c>
      <c r="H61" s="15" t="str">
        <f ca="1">IF(E61="","",INDEX('6. Role Evaluation'!$B$5:$G$104,MATCH(E61,Role,0),2))</f>
        <v/>
      </c>
      <c r="I61" s="15" t="str">
        <f ca="1">IF(E61="","",INDEX('6. Role Evaluation'!$B$5:$G$104,MATCH(E61,Role,0),3))</f>
        <v/>
      </c>
      <c r="J61" s="15" t="str">
        <f ca="1">IF(E61="","",INDEX('6. Role Evaluation'!$B$5:$G$104,MATCH(E61,Role,0),4))</f>
        <v/>
      </c>
      <c r="K61" s="15" t="str">
        <f ca="1">IF(E61="","",INDEX('6. Role Evaluation'!$B$5:$G$104,MATCH(E61,Role,0),6))</f>
        <v/>
      </c>
      <c r="L61" s="15" t="str">
        <f ca="1">IF(K61='Hidden-Menus'!$E$3,1,IF(K61='Hidden-Menus'!$E$5,-1,IF(K61='Hidden-Menus'!$E$4,0,"")))</f>
        <v/>
      </c>
      <c r="M61" s="15" t="str">
        <f ca="1">IF(E61="","",INDEX('6. Role Evaluation'!$B$5:$G$104,MATCH(E61,Role,0),5))</f>
        <v/>
      </c>
      <c r="N61" s="15">
        <f ca="1">IF(M61='Hidden-Menus'!$F$3,1,IF(M61='Hidden-Menus'!$F$5,-1,0))</f>
        <v>0</v>
      </c>
      <c r="O61" s="15" t="str">
        <f ca="1">IF('7. Demand &amp; Supply Forecast'!B68="","",F61+F61*'7. Demand &amp; Supply Forecast'!F68)</f>
        <v/>
      </c>
      <c r="P61" s="15" t="str">
        <f ca="1">IF('7. Demand &amp; Supply Forecast'!B68="","",O61+O61*'7. Demand &amp; Supply Forecast'!F68)</f>
        <v/>
      </c>
      <c r="Q61" s="15" t="str">
        <f ca="1">IF('7. Demand &amp; Supply Forecast'!B68="","",P61+P61*'7. Demand &amp; Supply Forecast'!F68)</f>
        <v/>
      </c>
      <c r="R61" s="15" t="str">
        <f ca="1">IF($E61="","",MROUND(O61*'7. Demand &amp; Supply Forecast'!K68,1000))</f>
        <v/>
      </c>
      <c r="S61" s="15" t="str">
        <f ca="1">IF($E61="","",MROUND(P61*'7. Demand &amp; Supply Forecast'!L68,1000))</f>
        <v/>
      </c>
      <c r="T61" s="15" t="str">
        <f ca="1">IF($E61="","",MROUND(Q61*'7. Demand &amp; Supply Forecast'!M68,1000))</f>
        <v/>
      </c>
      <c r="U61" s="15" t="str">
        <f ca="1">IF(E61="","",'7. Demand &amp; Supply Forecast'!Q68-'7. Demand &amp; Supply Forecast'!K68)</f>
        <v/>
      </c>
      <c r="V61" s="15" t="str">
        <f ca="1">IF(E61="","",'7. Demand &amp; Supply Forecast'!R68-'7. Demand &amp; Supply Forecast'!L68)</f>
        <v/>
      </c>
      <c r="W61" s="15" t="str">
        <f ca="1">IF(E61="","",'7. Demand &amp; Supply Forecast'!S68-'7. Demand &amp; Supply Forecast'!M68)</f>
        <v/>
      </c>
    </row>
    <row r="62" spans="2:23" x14ac:dyDescent="0.2">
      <c r="B62" s="15" t="str">
        <f>IF('3. Setup &amp; Role Data'!G68="","",'3. Setup &amp; Role Data'!G68)</f>
        <v/>
      </c>
      <c r="C62" s="15" t="str">
        <f>IF('6. Role Evaluation'!H64="","No",'6. Role Evaluation'!H64)</f>
        <v>No</v>
      </c>
      <c r="D62" s="15" t="str">
        <f t="shared" si="0"/>
        <v/>
      </c>
      <c r="E62" s="15" t="str">
        <f t="array" aca="1" ref="E62" ca="1">IFERROR(INDEX(Include,SMALL((IF(LEN(Include),ROW(INDIRECT("1:"&amp;ROWS(Include))))),ROW(B60)),1),"")</f>
        <v/>
      </c>
      <c r="F62" s="15" t="str">
        <f ca="1">IF(E62="","",INDEX('3. Setup &amp; Role Data'!$G$9:$I$109,MATCH(E62,Role,0),2))</f>
        <v/>
      </c>
      <c r="G62" s="15" t="str">
        <f ca="1">IF(E62="","",INDEX('3. Setup &amp; Role Data'!$G$9:$I$109,MATCH(E62,Role,0),3))</f>
        <v/>
      </c>
      <c r="H62" s="15" t="str">
        <f ca="1">IF(E62="","",INDEX('6. Role Evaluation'!$B$5:$G$104,MATCH(E62,Role,0),2))</f>
        <v/>
      </c>
      <c r="I62" s="15" t="str">
        <f ca="1">IF(E62="","",INDEX('6. Role Evaluation'!$B$5:$G$104,MATCH(E62,Role,0),3))</f>
        <v/>
      </c>
      <c r="J62" s="15" t="str">
        <f ca="1">IF(E62="","",INDEX('6. Role Evaluation'!$B$5:$G$104,MATCH(E62,Role,0),4))</f>
        <v/>
      </c>
      <c r="K62" s="15" t="str">
        <f ca="1">IF(E62="","",INDEX('6. Role Evaluation'!$B$5:$G$104,MATCH(E62,Role,0),6))</f>
        <v/>
      </c>
      <c r="L62" s="15" t="str">
        <f ca="1">IF(K62='Hidden-Menus'!$E$3,1,IF(K62='Hidden-Menus'!$E$5,-1,IF(K62='Hidden-Menus'!$E$4,0,"")))</f>
        <v/>
      </c>
      <c r="M62" s="15" t="str">
        <f ca="1">IF(E62="","",INDEX('6. Role Evaluation'!$B$5:$G$104,MATCH(E62,Role,0),5))</f>
        <v/>
      </c>
      <c r="N62" s="15">
        <f ca="1">IF(M62='Hidden-Menus'!$F$3,1,IF(M62='Hidden-Menus'!$F$5,-1,0))</f>
        <v>0</v>
      </c>
      <c r="O62" s="15" t="str">
        <f ca="1">IF('7. Demand &amp; Supply Forecast'!B69="","",F62+F62*'7. Demand &amp; Supply Forecast'!F69)</f>
        <v/>
      </c>
      <c r="P62" s="15" t="str">
        <f ca="1">IF('7. Demand &amp; Supply Forecast'!B69="","",O62+O62*'7. Demand &amp; Supply Forecast'!F69)</f>
        <v/>
      </c>
      <c r="Q62" s="15" t="str">
        <f ca="1">IF('7. Demand &amp; Supply Forecast'!B69="","",P62+P62*'7. Demand &amp; Supply Forecast'!F69)</f>
        <v/>
      </c>
      <c r="R62" s="15" t="str">
        <f ca="1">IF($E62="","",MROUND(O62*'7. Demand &amp; Supply Forecast'!K69,1000))</f>
        <v/>
      </c>
      <c r="S62" s="15" t="str">
        <f ca="1">IF($E62="","",MROUND(P62*'7. Demand &amp; Supply Forecast'!L69,1000))</f>
        <v/>
      </c>
      <c r="T62" s="15" t="str">
        <f ca="1">IF($E62="","",MROUND(Q62*'7. Demand &amp; Supply Forecast'!M69,1000))</f>
        <v/>
      </c>
      <c r="U62" s="15" t="str">
        <f ca="1">IF(E62="","",'7. Demand &amp; Supply Forecast'!Q69-'7. Demand &amp; Supply Forecast'!K69)</f>
        <v/>
      </c>
      <c r="V62" s="15" t="str">
        <f ca="1">IF(E62="","",'7. Demand &amp; Supply Forecast'!R69-'7. Demand &amp; Supply Forecast'!L69)</f>
        <v/>
      </c>
      <c r="W62" s="15" t="str">
        <f ca="1">IF(E62="","",'7. Demand &amp; Supply Forecast'!S69-'7. Demand &amp; Supply Forecast'!M69)</f>
        <v/>
      </c>
    </row>
    <row r="63" spans="2:23" x14ac:dyDescent="0.2">
      <c r="B63" s="15" t="str">
        <f>IF('3. Setup &amp; Role Data'!G69="","",'3. Setup &amp; Role Data'!G69)</f>
        <v/>
      </c>
      <c r="C63" s="15" t="str">
        <f>IF('6. Role Evaluation'!H65="","No",'6. Role Evaluation'!H65)</f>
        <v>No</v>
      </c>
      <c r="D63" s="15" t="str">
        <f t="shared" si="0"/>
        <v/>
      </c>
      <c r="E63" s="15" t="str">
        <f t="array" aca="1" ref="E63" ca="1">IFERROR(INDEX(Include,SMALL((IF(LEN(Include),ROW(INDIRECT("1:"&amp;ROWS(Include))))),ROW(B61)),1),"")</f>
        <v/>
      </c>
      <c r="F63" s="15" t="str">
        <f ca="1">IF(E63="","",INDEX('3. Setup &amp; Role Data'!$G$9:$I$109,MATCH(E63,Role,0),2))</f>
        <v/>
      </c>
      <c r="G63" s="15" t="str">
        <f ca="1">IF(E63="","",INDEX('3. Setup &amp; Role Data'!$G$9:$I$109,MATCH(E63,Role,0),3))</f>
        <v/>
      </c>
      <c r="H63" s="15" t="str">
        <f ca="1">IF(E63="","",INDEX('6. Role Evaluation'!$B$5:$G$104,MATCH(E63,Role,0),2))</f>
        <v/>
      </c>
      <c r="I63" s="15" t="str">
        <f ca="1">IF(E63="","",INDEX('6. Role Evaluation'!$B$5:$G$104,MATCH(E63,Role,0),3))</f>
        <v/>
      </c>
      <c r="J63" s="15" t="str">
        <f ca="1">IF(E63="","",INDEX('6. Role Evaluation'!$B$5:$G$104,MATCH(E63,Role,0),4))</f>
        <v/>
      </c>
      <c r="K63" s="15" t="str">
        <f ca="1">IF(E63="","",INDEX('6. Role Evaluation'!$B$5:$G$104,MATCH(E63,Role,0),6))</f>
        <v/>
      </c>
      <c r="L63" s="15" t="str">
        <f ca="1">IF(K63='Hidden-Menus'!$E$3,1,IF(K63='Hidden-Menus'!$E$5,-1,IF(K63='Hidden-Menus'!$E$4,0,"")))</f>
        <v/>
      </c>
      <c r="M63" s="15" t="str">
        <f ca="1">IF(E63="","",INDEX('6. Role Evaluation'!$B$5:$G$104,MATCH(E63,Role,0),5))</f>
        <v/>
      </c>
      <c r="N63" s="15">
        <f ca="1">IF(M63='Hidden-Menus'!$F$3,1,IF(M63='Hidden-Menus'!$F$5,-1,0))</f>
        <v>0</v>
      </c>
      <c r="O63" s="15" t="str">
        <f ca="1">IF('7. Demand &amp; Supply Forecast'!B70="","",F63+F63*'7. Demand &amp; Supply Forecast'!F70)</f>
        <v/>
      </c>
      <c r="P63" s="15" t="str">
        <f ca="1">IF('7. Demand &amp; Supply Forecast'!B70="","",O63+O63*'7. Demand &amp; Supply Forecast'!F70)</f>
        <v/>
      </c>
      <c r="Q63" s="15" t="str">
        <f ca="1">IF('7. Demand &amp; Supply Forecast'!B70="","",P63+P63*'7. Demand &amp; Supply Forecast'!F70)</f>
        <v/>
      </c>
      <c r="R63" s="15" t="str">
        <f ca="1">IF($E63="","",MROUND(O63*'7. Demand &amp; Supply Forecast'!K70,1000))</f>
        <v/>
      </c>
      <c r="S63" s="15" t="str">
        <f ca="1">IF($E63="","",MROUND(P63*'7. Demand &amp; Supply Forecast'!L70,1000))</f>
        <v/>
      </c>
      <c r="T63" s="15" t="str">
        <f ca="1">IF($E63="","",MROUND(Q63*'7. Demand &amp; Supply Forecast'!M70,1000))</f>
        <v/>
      </c>
      <c r="U63" s="15" t="str">
        <f ca="1">IF(E63="","",'7. Demand &amp; Supply Forecast'!Q70-'7. Demand &amp; Supply Forecast'!K70)</f>
        <v/>
      </c>
      <c r="V63" s="15" t="str">
        <f ca="1">IF(E63="","",'7. Demand &amp; Supply Forecast'!R70-'7. Demand &amp; Supply Forecast'!L70)</f>
        <v/>
      </c>
      <c r="W63" s="15" t="str">
        <f ca="1">IF(E63="","",'7. Demand &amp; Supply Forecast'!S70-'7. Demand &amp; Supply Forecast'!M70)</f>
        <v/>
      </c>
    </row>
    <row r="64" spans="2:23" x14ac:dyDescent="0.2">
      <c r="B64" s="15" t="str">
        <f>IF('3. Setup &amp; Role Data'!G70="","",'3. Setup &amp; Role Data'!G70)</f>
        <v/>
      </c>
      <c r="C64" s="15" t="str">
        <f>IF('6. Role Evaluation'!H66="","No",'6. Role Evaluation'!H66)</f>
        <v>No</v>
      </c>
      <c r="D64" s="15" t="str">
        <f t="shared" si="0"/>
        <v/>
      </c>
      <c r="E64" s="15" t="str">
        <f t="array" aca="1" ref="E64" ca="1">IFERROR(INDEX(Include,SMALL((IF(LEN(Include),ROW(INDIRECT("1:"&amp;ROWS(Include))))),ROW(B62)),1),"")</f>
        <v/>
      </c>
      <c r="F64" s="15" t="str">
        <f ca="1">IF(E64="","",INDEX('3. Setup &amp; Role Data'!$G$9:$I$109,MATCH(E64,Role,0),2))</f>
        <v/>
      </c>
      <c r="G64" s="15" t="str">
        <f ca="1">IF(E64="","",INDEX('3. Setup &amp; Role Data'!$G$9:$I$109,MATCH(E64,Role,0),3))</f>
        <v/>
      </c>
      <c r="H64" s="15" t="str">
        <f ca="1">IF(E64="","",INDEX('6. Role Evaluation'!$B$5:$G$104,MATCH(E64,Role,0),2))</f>
        <v/>
      </c>
      <c r="I64" s="15" t="str">
        <f ca="1">IF(E64="","",INDEX('6. Role Evaluation'!$B$5:$G$104,MATCH(E64,Role,0),3))</f>
        <v/>
      </c>
      <c r="J64" s="15" t="str">
        <f ca="1">IF(E64="","",INDEX('6. Role Evaluation'!$B$5:$G$104,MATCH(E64,Role,0),4))</f>
        <v/>
      </c>
      <c r="K64" s="15" t="str">
        <f ca="1">IF(E64="","",INDEX('6. Role Evaluation'!$B$5:$G$104,MATCH(E64,Role,0),6))</f>
        <v/>
      </c>
      <c r="L64" s="15" t="str">
        <f ca="1">IF(K64='Hidden-Menus'!$E$3,1,IF(K64='Hidden-Menus'!$E$5,-1,IF(K64='Hidden-Menus'!$E$4,0,"")))</f>
        <v/>
      </c>
      <c r="M64" s="15" t="str">
        <f ca="1">IF(E64="","",INDEX('6. Role Evaluation'!$B$5:$G$104,MATCH(E64,Role,0),5))</f>
        <v/>
      </c>
      <c r="N64" s="15">
        <f ca="1">IF(M64='Hidden-Menus'!$F$3,1,IF(M64='Hidden-Menus'!$F$5,-1,0))</f>
        <v>0</v>
      </c>
      <c r="O64" s="15" t="str">
        <f ca="1">IF('7. Demand &amp; Supply Forecast'!B71="","",F64+F64*'7. Demand &amp; Supply Forecast'!F71)</f>
        <v/>
      </c>
      <c r="P64" s="15" t="str">
        <f ca="1">IF('7. Demand &amp; Supply Forecast'!B71="","",O64+O64*'7. Demand &amp; Supply Forecast'!F71)</f>
        <v/>
      </c>
      <c r="Q64" s="15" t="str">
        <f ca="1">IF('7. Demand &amp; Supply Forecast'!B71="","",P64+P64*'7. Demand &amp; Supply Forecast'!F71)</f>
        <v/>
      </c>
      <c r="R64" s="15" t="str">
        <f ca="1">IF($E64="","",MROUND(O64*'7. Demand &amp; Supply Forecast'!K71,1000))</f>
        <v/>
      </c>
      <c r="S64" s="15" t="str">
        <f ca="1">IF($E64="","",MROUND(P64*'7. Demand &amp; Supply Forecast'!L71,1000))</f>
        <v/>
      </c>
      <c r="T64" s="15" t="str">
        <f ca="1">IF($E64="","",MROUND(Q64*'7. Demand &amp; Supply Forecast'!M71,1000))</f>
        <v/>
      </c>
      <c r="U64" s="15" t="str">
        <f ca="1">IF(E64="","",'7. Demand &amp; Supply Forecast'!Q71-'7. Demand &amp; Supply Forecast'!K71)</f>
        <v/>
      </c>
      <c r="V64" s="15" t="str">
        <f ca="1">IF(E64="","",'7. Demand &amp; Supply Forecast'!R71-'7. Demand &amp; Supply Forecast'!L71)</f>
        <v/>
      </c>
      <c r="W64" s="15" t="str">
        <f ca="1">IF(E64="","",'7. Demand &amp; Supply Forecast'!S71-'7. Demand &amp; Supply Forecast'!M71)</f>
        <v/>
      </c>
    </row>
    <row r="65" spans="2:23" x14ac:dyDescent="0.2">
      <c r="B65" s="15" t="str">
        <f>IF('3. Setup &amp; Role Data'!G71="","",'3. Setup &amp; Role Data'!G71)</f>
        <v/>
      </c>
      <c r="C65" s="15" t="str">
        <f>IF('6. Role Evaluation'!H67="","No",'6. Role Evaluation'!H67)</f>
        <v>No</v>
      </c>
      <c r="D65" s="15" t="str">
        <f t="shared" si="0"/>
        <v/>
      </c>
      <c r="E65" s="15" t="str">
        <f t="array" aca="1" ref="E65" ca="1">IFERROR(INDEX(Include,SMALL((IF(LEN(Include),ROW(INDIRECT("1:"&amp;ROWS(Include))))),ROW(B63)),1),"")</f>
        <v/>
      </c>
      <c r="F65" s="15" t="str">
        <f ca="1">IF(E65="","",INDEX('3. Setup &amp; Role Data'!$G$9:$I$109,MATCH(E65,Role,0),2))</f>
        <v/>
      </c>
      <c r="G65" s="15" t="str">
        <f ca="1">IF(E65="","",INDEX('3. Setup &amp; Role Data'!$G$9:$I$109,MATCH(E65,Role,0),3))</f>
        <v/>
      </c>
      <c r="H65" s="15" t="str">
        <f ca="1">IF(E65="","",INDEX('6. Role Evaluation'!$B$5:$G$104,MATCH(E65,Role,0),2))</f>
        <v/>
      </c>
      <c r="I65" s="15" t="str">
        <f ca="1">IF(E65="","",INDEX('6. Role Evaluation'!$B$5:$G$104,MATCH(E65,Role,0),3))</f>
        <v/>
      </c>
      <c r="J65" s="15" t="str">
        <f ca="1">IF(E65="","",INDEX('6. Role Evaluation'!$B$5:$G$104,MATCH(E65,Role,0),4))</f>
        <v/>
      </c>
      <c r="K65" s="15" t="str">
        <f ca="1">IF(E65="","",INDEX('6. Role Evaluation'!$B$5:$G$104,MATCH(E65,Role,0),6))</f>
        <v/>
      </c>
      <c r="L65" s="15" t="str">
        <f ca="1">IF(K65='Hidden-Menus'!$E$3,1,IF(K65='Hidden-Menus'!$E$5,-1,IF(K65='Hidden-Menus'!$E$4,0,"")))</f>
        <v/>
      </c>
      <c r="M65" s="15" t="str">
        <f ca="1">IF(E65="","",INDEX('6. Role Evaluation'!$B$5:$G$104,MATCH(E65,Role,0),5))</f>
        <v/>
      </c>
      <c r="N65" s="15">
        <f ca="1">IF(M65='Hidden-Menus'!$F$3,1,IF(M65='Hidden-Menus'!$F$5,-1,0))</f>
        <v>0</v>
      </c>
      <c r="O65" s="15" t="str">
        <f ca="1">IF('7. Demand &amp; Supply Forecast'!B72="","",F65+F65*'7. Demand &amp; Supply Forecast'!F72)</f>
        <v/>
      </c>
      <c r="P65" s="15" t="str">
        <f ca="1">IF('7. Demand &amp; Supply Forecast'!B72="","",O65+O65*'7. Demand &amp; Supply Forecast'!F72)</f>
        <v/>
      </c>
      <c r="Q65" s="15" t="str">
        <f ca="1">IF('7. Demand &amp; Supply Forecast'!B72="","",P65+P65*'7. Demand &amp; Supply Forecast'!F72)</f>
        <v/>
      </c>
      <c r="R65" s="15" t="str">
        <f ca="1">IF($E65="","",MROUND(O65*'7. Demand &amp; Supply Forecast'!K72,1000))</f>
        <v/>
      </c>
      <c r="S65" s="15" t="str">
        <f ca="1">IF($E65="","",MROUND(P65*'7. Demand &amp; Supply Forecast'!L72,1000))</f>
        <v/>
      </c>
      <c r="T65" s="15" t="str">
        <f ca="1">IF($E65="","",MROUND(Q65*'7. Demand &amp; Supply Forecast'!M72,1000))</f>
        <v/>
      </c>
      <c r="U65" s="15" t="str">
        <f ca="1">IF(E65="","",'7. Demand &amp; Supply Forecast'!Q72-'7. Demand &amp; Supply Forecast'!K72)</f>
        <v/>
      </c>
      <c r="V65" s="15" t="str">
        <f ca="1">IF(E65="","",'7. Demand &amp; Supply Forecast'!R72-'7. Demand &amp; Supply Forecast'!L72)</f>
        <v/>
      </c>
      <c r="W65" s="15" t="str">
        <f ca="1">IF(E65="","",'7. Demand &amp; Supply Forecast'!S72-'7. Demand &amp; Supply Forecast'!M72)</f>
        <v/>
      </c>
    </row>
    <row r="66" spans="2:23" x14ac:dyDescent="0.2">
      <c r="B66" s="15" t="str">
        <f>IF('3. Setup &amp; Role Data'!G72="","",'3. Setup &amp; Role Data'!G72)</f>
        <v/>
      </c>
      <c r="C66" s="15" t="str">
        <f>IF('6. Role Evaluation'!H68="","No",'6. Role Evaluation'!H68)</f>
        <v>No</v>
      </c>
      <c r="D66" s="15" t="str">
        <f t="shared" si="0"/>
        <v/>
      </c>
      <c r="E66" s="15" t="str">
        <f t="array" aca="1" ref="E66" ca="1">IFERROR(INDEX(Include,SMALL((IF(LEN(Include),ROW(INDIRECT("1:"&amp;ROWS(Include))))),ROW(B64)),1),"")</f>
        <v/>
      </c>
      <c r="F66" s="15" t="str">
        <f ca="1">IF(E66="","",INDEX('3. Setup &amp; Role Data'!$G$9:$I$109,MATCH(E66,Role,0),2))</f>
        <v/>
      </c>
      <c r="G66" s="15" t="str">
        <f ca="1">IF(E66="","",INDEX('3. Setup &amp; Role Data'!$G$9:$I$109,MATCH(E66,Role,0),3))</f>
        <v/>
      </c>
      <c r="H66" s="15" t="str">
        <f ca="1">IF(E66="","",INDEX('6. Role Evaluation'!$B$5:$G$104,MATCH(E66,Role,0),2))</f>
        <v/>
      </c>
      <c r="I66" s="15" t="str">
        <f ca="1">IF(E66="","",INDEX('6. Role Evaluation'!$B$5:$G$104,MATCH(E66,Role,0),3))</f>
        <v/>
      </c>
      <c r="J66" s="15" t="str">
        <f ca="1">IF(E66="","",INDEX('6. Role Evaluation'!$B$5:$G$104,MATCH(E66,Role,0),4))</f>
        <v/>
      </c>
      <c r="K66" s="15" t="str">
        <f ca="1">IF(E66="","",INDEX('6. Role Evaluation'!$B$5:$G$104,MATCH(E66,Role,0),6))</f>
        <v/>
      </c>
      <c r="L66" s="15" t="str">
        <f ca="1">IF(K66='Hidden-Menus'!$E$3,1,IF(K66='Hidden-Menus'!$E$5,-1,IF(K66='Hidden-Menus'!$E$4,0,"")))</f>
        <v/>
      </c>
      <c r="M66" s="15" t="str">
        <f ca="1">IF(E66="","",INDEX('6. Role Evaluation'!$B$5:$G$104,MATCH(E66,Role,0),5))</f>
        <v/>
      </c>
      <c r="N66" s="15">
        <f ca="1">IF(M66='Hidden-Menus'!$F$3,1,IF(M66='Hidden-Menus'!$F$5,-1,0))</f>
        <v>0</v>
      </c>
      <c r="O66" s="15" t="str">
        <f ca="1">IF('7. Demand &amp; Supply Forecast'!B73="","",F66+F66*'7. Demand &amp; Supply Forecast'!F73)</f>
        <v/>
      </c>
      <c r="P66" s="15" t="str">
        <f ca="1">IF('7. Demand &amp; Supply Forecast'!B73="","",O66+O66*'7. Demand &amp; Supply Forecast'!F73)</f>
        <v/>
      </c>
      <c r="Q66" s="15" t="str">
        <f ca="1">IF('7. Demand &amp; Supply Forecast'!B73="","",P66+P66*'7. Demand &amp; Supply Forecast'!F73)</f>
        <v/>
      </c>
      <c r="R66" s="15" t="str">
        <f ca="1">IF($E66="","",MROUND(O66*'7. Demand &amp; Supply Forecast'!K73,1000))</f>
        <v/>
      </c>
      <c r="S66" s="15" t="str">
        <f ca="1">IF($E66="","",MROUND(P66*'7. Demand &amp; Supply Forecast'!L73,1000))</f>
        <v/>
      </c>
      <c r="T66" s="15" t="str">
        <f ca="1">IF($E66="","",MROUND(Q66*'7. Demand &amp; Supply Forecast'!M73,1000))</f>
        <v/>
      </c>
      <c r="U66" s="15" t="str">
        <f ca="1">IF(E66="","",'7. Demand &amp; Supply Forecast'!Q73-'7. Demand &amp; Supply Forecast'!K73)</f>
        <v/>
      </c>
      <c r="V66" s="15" t="str">
        <f ca="1">IF(E66="","",'7. Demand &amp; Supply Forecast'!R73-'7. Demand &amp; Supply Forecast'!L73)</f>
        <v/>
      </c>
      <c r="W66" s="15" t="str">
        <f ca="1">IF(E66="","",'7. Demand &amp; Supply Forecast'!S73-'7. Demand &amp; Supply Forecast'!M73)</f>
        <v/>
      </c>
    </row>
    <row r="67" spans="2:23" x14ac:dyDescent="0.2">
      <c r="B67" s="15" t="str">
        <f>IF('3. Setup &amp; Role Data'!G73="","",'3. Setup &amp; Role Data'!G73)</f>
        <v/>
      </c>
      <c r="C67" s="15" t="str">
        <f>IF('6. Role Evaluation'!H69="","No",'6. Role Evaluation'!H69)</f>
        <v>No</v>
      </c>
      <c r="D67" s="15" t="str">
        <f t="shared" si="0"/>
        <v/>
      </c>
      <c r="E67" s="15" t="str">
        <f t="array" aca="1" ref="E67" ca="1">IFERROR(INDEX(Include,SMALL((IF(LEN(Include),ROW(INDIRECT("1:"&amp;ROWS(Include))))),ROW(B65)),1),"")</f>
        <v/>
      </c>
      <c r="F67" s="15" t="str">
        <f ca="1">IF(E67="","",INDEX('3. Setup &amp; Role Data'!$G$9:$I$109,MATCH(E67,Role,0),2))</f>
        <v/>
      </c>
      <c r="G67" s="15" t="str">
        <f ca="1">IF(E67="","",INDEX('3. Setup &amp; Role Data'!$G$9:$I$109,MATCH(E67,Role,0),3))</f>
        <v/>
      </c>
      <c r="H67" s="15" t="str">
        <f ca="1">IF(E67="","",INDEX('6. Role Evaluation'!$B$5:$G$104,MATCH(E67,Role,0),2))</f>
        <v/>
      </c>
      <c r="I67" s="15" t="str">
        <f ca="1">IF(E67="","",INDEX('6. Role Evaluation'!$B$5:$G$104,MATCH(E67,Role,0),3))</f>
        <v/>
      </c>
      <c r="J67" s="15" t="str">
        <f ca="1">IF(E67="","",INDEX('6. Role Evaluation'!$B$5:$G$104,MATCH(E67,Role,0),4))</f>
        <v/>
      </c>
      <c r="K67" s="15" t="str">
        <f ca="1">IF(E67="","",INDEX('6. Role Evaluation'!$B$5:$G$104,MATCH(E67,Role,0),6))</f>
        <v/>
      </c>
      <c r="L67" s="15" t="str">
        <f ca="1">IF(K67='Hidden-Menus'!$E$3,1,IF(K67='Hidden-Menus'!$E$5,-1,IF(K67='Hidden-Menus'!$E$4,0,"")))</f>
        <v/>
      </c>
      <c r="M67" s="15" t="str">
        <f ca="1">IF(E67="","",INDEX('6. Role Evaluation'!$B$5:$G$104,MATCH(E67,Role,0),5))</f>
        <v/>
      </c>
      <c r="N67" s="15">
        <f ca="1">IF(M67='Hidden-Menus'!$F$3,1,IF(M67='Hidden-Menus'!$F$5,-1,0))</f>
        <v>0</v>
      </c>
      <c r="O67" s="15" t="str">
        <f ca="1">IF('7. Demand &amp; Supply Forecast'!B74="","",F67+F67*'7. Demand &amp; Supply Forecast'!F74)</f>
        <v/>
      </c>
      <c r="P67" s="15" t="str">
        <f ca="1">IF('7. Demand &amp; Supply Forecast'!B74="","",O67+O67*'7. Demand &amp; Supply Forecast'!F74)</f>
        <v/>
      </c>
      <c r="Q67" s="15" t="str">
        <f ca="1">IF('7. Demand &amp; Supply Forecast'!B74="","",P67+P67*'7. Demand &amp; Supply Forecast'!F74)</f>
        <v/>
      </c>
      <c r="R67" s="15" t="str">
        <f ca="1">IF($E67="","",MROUND(O67*'7. Demand &amp; Supply Forecast'!K74,1000))</f>
        <v/>
      </c>
      <c r="S67" s="15" t="str">
        <f ca="1">IF($E67="","",MROUND(P67*'7. Demand &amp; Supply Forecast'!L74,1000))</f>
        <v/>
      </c>
      <c r="T67" s="15" t="str">
        <f ca="1">IF($E67="","",MROUND(Q67*'7. Demand &amp; Supply Forecast'!M74,1000))</f>
        <v/>
      </c>
      <c r="U67" s="15" t="str">
        <f ca="1">IF(E67="","",'7. Demand &amp; Supply Forecast'!Q74-'7. Demand &amp; Supply Forecast'!K74)</f>
        <v/>
      </c>
      <c r="V67" s="15" t="str">
        <f ca="1">IF(E67="","",'7. Demand &amp; Supply Forecast'!R74-'7. Demand &amp; Supply Forecast'!L74)</f>
        <v/>
      </c>
      <c r="W67" s="15" t="str">
        <f ca="1">IF(E67="","",'7. Demand &amp; Supply Forecast'!S74-'7. Demand &amp; Supply Forecast'!M74)</f>
        <v/>
      </c>
    </row>
    <row r="68" spans="2:23" x14ac:dyDescent="0.2">
      <c r="B68" s="15" t="str">
        <f>IF('3. Setup &amp; Role Data'!G74="","",'3. Setup &amp; Role Data'!G74)</f>
        <v/>
      </c>
      <c r="C68" s="15" t="str">
        <f>IF('6. Role Evaluation'!H70="","No",'6. Role Evaluation'!H70)</f>
        <v>No</v>
      </c>
      <c r="D68" s="15" t="str">
        <f t="shared" ref="D68:D103" si="1">IF(C68="Yes",B68,"")</f>
        <v/>
      </c>
      <c r="E68" s="15" t="str">
        <f t="array" aca="1" ref="E68" ca="1">IFERROR(INDEX(Include,SMALL((IF(LEN(Include),ROW(INDIRECT("1:"&amp;ROWS(Include))))),ROW(B66)),1),"")</f>
        <v/>
      </c>
      <c r="F68" s="15" t="str">
        <f ca="1">IF(E68="","",INDEX('3. Setup &amp; Role Data'!$G$9:$I$109,MATCH(E68,Role,0),2))</f>
        <v/>
      </c>
      <c r="G68" s="15" t="str">
        <f ca="1">IF(E68="","",INDEX('3. Setup &amp; Role Data'!$G$9:$I$109,MATCH(E68,Role,0),3))</f>
        <v/>
      </c>
      <c r="H68" s="15" t="str">
        <f ca="1">IF(E68="","",INDEX('6. Role Evaluation'!$B$5:$G$104,MATCH(E68,Role,0),2))</f>
        <v/>
      </c>
      <c r="I68" s="15" t="str">
        <f ca="1">IF(E68="","",INDEX('6. Role Evaluation'!$B$5:$G$104,MATCH(E68,Role,0),3))</f>
        <v/>
      </c>
      <c r="J68" s="15" t="str">
        <f ca="1">IF(E68="","",INDEX('6. Role Evaluation'!$B$5:$G$104,MATCH(E68,Role,0),4))</f>
        <v/>
      </c>
      <c r="K68" s="15" t="str">
        <f ca="1">IF(E68="","",INDEX('6. Role Evaluation'!$B$5:$G$104,MATCH(E68,Role,0),6))</f>
        <v/>
      </c>
      <c r="L68" s="15" t="str">
        <f ca="1">IF(K68='Hidden-Menus'!$E$3,1,IF(K68='Hidden-Menus'!$E$5,-1,IF(K68='Hidden-Menus'!$E$4,0,"")))</f>
        <v/>
      </c>
      <c r="M68" s="15" t="str">
        <f ca="1">IF(E68="","",INDEX('6. Role Evaluation'!$B$5:$G$104,MATCH(E68,Role,0),5))</f>
        <v/>
      </c>
      <c r="N68" s="15">
        <f ca="1">IF(M68='Hidden-Menus'!$F$3,1,IF(M68='Hidden-Menus'!$F$5,-1,0))</f>
        <v>0</v>
      </c>
      <c r="O68" s="15" t="str">
        <f ca="1">IF('7. Demand &amp; Supply Forecast'!B75="","",F68+F68*'7. Demand &amp; Supply Forecast'!F75)</f>
        <v/>
      </c>
      <c r="P68" s="15" t="str">
        <f ca="1">IF('7. Demand &amp; Supply Forecast'!B75="","",O68+O68*'7. Demand &amp; Supply Forecast'!F75)</f>
        <v/>
      </c>
      <c r="Q68" s="15" t="str">
        <f ca="1">IF('7. Demand &amp; Supply Forecast'!B75="","",P68+P68*'7. Demand &amp; Supply Forecast'!F75)</f>
        <v/>
      </c>
      <c r="R68" s="15" t="str">
        <f ca="1">IF($E68="","",MROUND(O68*'7. Demand &amp; Supply Forecast'!K75,1000))</f>
        <v/>
      </c>
      <c r="S68" s="15" t="str">
        <f ca="1">IF($E68="","",MROUND(P68*'7. Demand &amp; Supply Forecast'!L75,1000))</f>
        <v/>
      </c>
      <c r="T68" s="15" t="str">
        <f ca="1">IF($E68="","",MROUND(Q68*'7. Demand &amp; Supply Forecast'!M75,1000))</f>
        <v/>
      </c>
      <c r="U68" s="15" t="str">
        <f ca="1">IF(E68="","",'7. Demand &amp; Supply Forecast'!Q75-'7. Demand &amp; Supply Forecast'!K75)</f>
        <v/>
      </c>
      <c r="V68" s="15" t="str">
        <f ca="1">IF(E68="","",'7. Demand &amp; Supply Forecast'!R75-'7. Demand &amp; Supply Forecast'!L75)</f>
        <v/>
      </c>
      <c r="W68" s="15" t="str">
        <f ca="1">IF(E68="","",'7. Demand &amp; Supply Forecast'!S75-'7. Demand &amp; Supply Forecast'!M75)</f>
        <v/>
      </c>
    </row>
    <row r="69" spans="2:23" x14ac:dyDescent="0.2">
      <c r="B69" s="15" t="str">
        <f>IF('3. Setup &amp; Role Data'!G75="","",'3. Setup &amp; Role Data'!G75)</f>
        <v/>
      </c>
      <c r="C69" s="15" t="str">
        <f>IF('6. Role Evaluation'!H71="","No",'6. Role Evaluation'!H71)</f>
        <v>No</v>
      </c>
      <c r="D69" s="15" t="str">
        <f t="shared" si="1"/>
        <v/>
      </c>
      <c r="E69" s="15" t="str">
        <f t="array" aca="1" ref="E69" ca="1">IFERROR(INDEX(Include,SMALL((IF(LEN(Include),ROW(INDIRECT("1:"&amp;ROWS(Include))))),ROW(B67)),1),"")</f>
        <v/>
      </c>
      <c r="F69" s="15" t="str">
        <f ca="1">IF(E69="","",INDEX('3. Setup &amp; Role Data'!$G$9:$I$109,MATCH(E69,Role,0),2))</f>
        <v/>
      </c>
      <c r="G69" s="15" t="str">
        <f ca="1">IF(E69="","",INDEX('3. Setup &amp; Role Data'!$G$9:$I$109,MATCH(E69,Role,0),3))</f>
        <v/>
      </c>
      <c r="H69" s="15" t="str">
        <f ca="1">IF(E69="","",INDEX('6. Role Evaluation'!$B$5:$G$104,MATCH(E69,Role,0),2))</f>
        <v/>
      </c>
      <c r="I69" s="15" t="str">
        <f ca="1">IF(E69="","",INDEX('6. Role Evaluation'!$B$5:$G$104,MATCH(E69,Role,0),3))</f>
        <v/>
      </c>
      <c r="J69" s="15" t="str">
        <f ca="1">IF(E69="","",INDEX('6. Role Evaluation'!$B$5:$G$104,MATCH(E69,Role,0),4))</f>
        <v/>
      </c>
      <c r="K69" s="15" t="str">
        <f ca="1">IF(E69="","",INDEX('6. Role Evaluation'!$B$5:$G$104,MATCH(E69,Role,0),6))</f>
        <v/>
      </c>
      <c r="L69" s="15" t="str">
        <f ca="1">IF(K69='Hidden-Menus'!$E$3,1,IF(K69='Hidden-Menus'!$E$5,-1,IF(K69='Hidden-Menus'!$E$4,0,"")))</f>
        <v/>
      </c>
      <c r="M69" s="15" t="str">
        <f ca="1">IF(E69="","",INDEX('6. Role Evaluation'!$B$5:$G$104,MATCH(E69,Role,0),5))</f>
        <v/>
      </c>
      <c r="N69" s="15">
        <f ca="1">IF(M69='Hidden-Menus'!$F$3,1,IF(M69='Hidden-Menus'!$F$5,-1,0))</f>
        <v>0</v>
      </c>
      <c r="O69" s="15" t="str">
        <f ca="1">IF('7. Demand &amp; Supply Forecast'!B76="","",F69+F69*'7. Demand &amp; Supply Forecast'!F76)</f>
        <v/>
      </c>
      <c r="P69" s="15" t="str">
        <f ca="1">IF('7. Demand &amp; Supply Forecast'!B76="","",O69+O69*'7. Demand &amp; Supply Forecast'!F76)</f>
        <v/>
      </c>
      <c r="Q69" s="15" t="str">
        <f ca="1">IF('7. Demand &amp; Supply Forecast'!B76="","",P69+P69*'7. Demand &amp; Supply Forecast'!F76)</f>
        <v/>
      </c>
      <c r="R69" s="15" t="str">
        <f ca="1">IF($E69="","",MROUND(O69*'7. Demand &amp; Supply Forecast'!K76,1000))</f>
        <v/>
      </c>
      <c r="S69" s="15" t="str">
        <f ca="1">IF($E69="","",MROUND(P69*'7. Demand &amp; Supply Forecast'!L76,1000))</f>
        <v/>
      </c>
      <c r="T69" s="15" t="str">
        <f ca="1">IF($E69="","",MROUND(Q69*'7. Demand &amp; Supply Forecast'!M76,1000))</f>
        <v/>
      </c>
      <c r="U69" s="15" t="str">
        <f ca="1">IF(E69="","",'7. Demand &amp; Supply Forecast'!Q76-'7. Demand &amp; Supply Forecast'!K76)</f>
        <v/>
      </c>
      <c r="V69" s="15" t="str">
        <f ca="1">IF(E69="","",'7. Demand &amp; Supply Forecast'!R76-'7. Demand &amp; Supply Forecast'!L76)</f>
        <v/>
      </c>
      <c r="W69" s="15" t="str">
        <f ca="1">IF(E69="","",'7. Demand &amp; Supply Forecast'!S76-'7. Demand &amp; Supply Forecast'!M76)</f>
        <v/>
      </c>
    </row>
    <row r="70" spans="2:23" x14ac:dyDescent="0.2">
      <c r="B70" s="15" t="str">
        <f>IF('3. Setup &amp; Role Data'!G76="","",'3. Setup &amp; Role Data'!G76)</f>
        <v/>
      </c>
      <c r="C70" s="15" t="str">
        <f>IF('6. Role Evaluation'!H72="","No",'6. Role Evaluation'!H72)</f>
        <v>No</v>
      </c>
      <c r="D70" s="15" t="str">
        <f t="shared" si="1"/>
        <v/>
      </c>
      <c r="E70" s="15" t="str">
        <f t="array" aca="1" ref="E70" ca="1">IFERROR(INDEX(Include,SMALL((IF(LEN(Include),ROW(INDIRECT("1:"&amp;ROWS(Include))))),ROW(B68)),1),"")</f>
        <v/>
      </c>
      <c r="F70" s="15" t="str">
        <f ca="1">IF(E70="","",INDEX('3. Setup &amp; Role Data'!$G$9:$I$109,MATCH(E70,Role,0),2))</f>
        <v/>
      </c>
      <c r="G70" s="15" t="str">
        <f ca="1">IF(E70="","",INDEX('3. Setup &amp; Role Data'!$G$9:$I$109,MATCH(E70,Role,0),3))</f>
        <v/>
      </c>
      <c r="H70" s="15" t="str">
        <f ca="1">IF(E70="","",INDEX('6. Role Evaluation'!$B$5:$G$104,MATCH(E70,Role,0),2))</f>
        <v/>
      </c>
      <c r="I70" s="15" t="str">
        <f ca="1">IF(E70="","",INDEX('6. Role Evaluation'!$B$5:$G$104,MATCH(E70,Role,0),3))</f>
        <v/>
      </c>
      <c r="J70" s="15" t="str">
        <f ca="1">IF(E70="","",INDEX('6. Role Evaluation'!$B$5:$G$104,MATCH(E70,Role,0),4))</f>
        <v/>
      </c>
      <c r="K70" s="15" t="str">
        <f ca="1">IF(E70="","",INDEX('6. Role Evaluation'!$B$5:$G$104,MATCH(E70,Role,0),6))</f>
        <v/>
      </c>
      <c r="L70" s="15" t="str">
        <f ca="1">IF(K70='Hidden-Menus'!$E$3,1,IF(K70='Hidden-Menus'!$E$5,-1,IF(K70='Hidden-Menus'!$E$4,0,"")))</f>
        <v/>
      </c>
      <c r="M70" s="15" t="str">
        <f ca="1">IF(E70="","",INDEX('6. Role Evaluation'!$B$5:$G$104,MATCH(E70,Role,0),5))</f>
        <v/>
      </c>
      <c r="N70" s="15">
        <f ca="1">IF(M70='Hidden-Menus'!$F$3,1,IF(M70='Hidden-Menus'!$F$5,-1,0))</f>
        <v>0</v>
      </c>
      <c r="O70" s="15" t="str">
        <f ca="1">IF('7. Demand &amp; Supply Forecast'!B77="","",F70+F70*'7. Demand &amp; Supply Forecast'!F77)</f>
        <v/>
      </c>
      <c r="P70" s="15" t="str">
        <f ca="1">IF('7. Demand &amp; Supply Forecast'!B77="","",O70+O70*'7. Demand &amp; Supply Forecast'!F77)</f>
        <v/>
      </c>
      <c r="Q70" s="15" t="str">
        <f ca="1">IF('7. Demand &amp; Supply Forecast'!B77="","",P70+P70*'7. Demand &amp; Supply Forecast'!F77)</f>
        <v/>
      </c>
      <c r="R70" s="15" t="str">
        <f ca="1">IF($E70="","",MROUND(O70*'7. Demand &amp; Supply Forecast'!K77,1000))</f>
        <v/>
      </c>
      <c r="S70" s="15" t="str">
        <f ca="1">IF($E70="","",MROUND(P70*'7. Demand &amp; Supply Forecast'!L77,1000))</f>
        <v/>
      </c>
      <c r="T70" s="15" t="str">
        <f ca="1">IF($E70="","",MROUND(Q70*'7. Demand &amp; Supply Forecast'!M77,1000))</f>
        <v/>
      </c>
      <c r="U70" s="15" t="str">
        <f ca="1">IF(E70="","",'7. Demand &amp; Supply Forecast'!Q77-'7. Demand &amp; Supply Forecast'!K77)</f>
        <v/>
      </c>
      <c r="V70" s="15" t="str">
        <f ca="1">IF(E70="","",'7. Demand &amp; Supply Forecast'!R77-'7. Demand &amp; Supply Forecast'!L77)</f>
        <v/>
      </c>
      <c r="W70" s="15" t="str">
        <f ca="1">IF(E70="","",'7. Demand &amp; Supply Forecast'!S77-'7. Demand &amp; Supply Forecast'!M77)</f>
        <v/>
      </c>
    </row>
    <row r="71" spans="2:23" x14ac:dyDescent="0.2">
      <c r="B71" s="15" t="str">
        <f>IF('3. Setup &amp; Role Data'!G77="","",'3. Setup &amp; Role Data'!G77)</f>
        <v/>
      </c>
      <c r="C71" s="15" t="str">
        <f>IF('6. Role Evaluation'!H73="","No",'6. Role Evaluation'!H73)</f>
        <v>No</v>
      </c>
      <c r="D71" s="15" t="str">
        <f t="shared" si="1"/>
        <v/>
      </c>
      <c r="E71" s="15" t="str">
        <f t="array" aca="1" ref="E71" ca="1">IFERROR(INDEX(Include,SMALL((IF(LEN(Include),ROW(INDIRECT("1:"&amp;ROWS(Include))))),ROW(B69)),1),"")</f>
        <v/>
      </c>
      <c r="F71" s="15" t="str">
        <f ca="1">IF(E71="","",INDEX('3. Setup &amp; Role Data'!$G$9:$I$109,MATCH(E71,Role,0),2))</f>
        <v/>
      </c>
      <c r="G71" s="15" t="str">
        <f ca="1">IF(E71="","",INDEX('3. Setup &amp; Role Data'!$G$9:$I$109,MATCH(E71,Role,0),3))</f>
        <v/>
      </c>
      <c r="H71" s="15" t="str">
        <f ca="1">IF(E71="","",INDEX('6. Role Evaluation'!$B$5:$G$104,MATCH(E71,Role,0),2))</f>
        <v/>
      </c>
      <c r="I71" s="15" t="str">
        <f ca="1">IF(E71="","",INDEX('6. Role Evaluation'!$B$5:$G$104,MATCH(E71,Role,0),3))</f>
        <v/>
      </c>
      <c r="J71" s="15" t="str">
        <f ca="1">IF(E71="","",INDEX('6. Role Evaluation'!$B$5:$G$104,MATCH(E71,Role,0),4))</f>
        <v/>
      </c>
      <c r="K71" s="15" t="str">
        <f ca="1">IF(E71="","",INDEX('6. Role Evaluation'!$B$5:$G$104,MATCH(E71,Role,0),6))</f>
        <v/>
      </c>
      <c r="L71" s="15" t="str">
        <f ca="1">IF(K71='Hidden-Menus'!$E$3,1,IF(K71='Hidden-Menus'!$E$5,-1,IF(K71='Hidden-Menus'!$E$4,0,"")))</f>
        <v/>
      </c>
      <c r="M71" s="15" t="str">
        <f ca="1">IF(E71="","",INDEX('6. Role Evaluation'!$B$5:$G$104,MATCH(E71,Role,0),5))</f>
        <v/>
      </c>
      <c r="N71" s="15">
        <f ca="1">IF(M71='Hidden-Menus'!$F$3,1,IF(M71='Hidden-Menus'!$F$5,-1,0))</f>
        <v>0</v>
      </c>
      <c r="O71" s="15" t="str">
        <f ca="1">IF('7. Demand &amp; Supply Forecast'!B78="","",F71+F71*'7. Demand &amp; Supply Forecast'!F78)</f>
        <v/>
      </c>
      <c r="P71" s="15" t="str">
        <f ca="1">IF('7. Demand &amp; Supply Forecast'!B78="","",O71+O71*'7. Demand &amp; Supply Forecast'!F78)</f>
        <v/>
      </c>
      <c r="Q71" s="15" t="str">
        <f ca="1">IF('7. Demand &amp; Supply Forecast'!B78="","",P71+P71*'7. Demand &amp; Supply Forecast'!F78)</f>
        <v/>
      </c>
      <c r="R71" s="15" t="str">
        <f ca="1">IF($E71="","",MROUND(O71*'7. Demand &amp; Supply Forecast'!K78,1000))</f>
        <v/>
      </c>
      <c r="S71" s="15" t="str">
        <f ca="1">IF($E71="","",MROUND(P71*'7. Demand &amp; Supply Forecast'!L78,1000))</f>
        <v/>
      </c>
      <c r="T71" s="15" t="str">
        <f ca="1">IF($E71="","",MROUND(Q71*'7. Demand &amp; Supply Forecast'!M78,1000))</f>
        <v/>
      </c>
      <c r="U71" s="15" t="str">
        <f ca="1">IF(E71="","",'7. Demand &amp; Supply Forecast'!Q78-'7. Demand &amp; Supply Forecast'!K78)</f>
        <v/>
      </c>
      <c r="V71" s="15" t="str">
        <f ca="1">IF(E71="","",'7. Demand &amp; Supply Forecast'!R78-'7. Demand &amp; Supply Forecast'!L78)</f>
        <v/>
      </c>
      <c r="W71" s="15" t="str">
        <f ca="1">IF(E71="","",'7. Demand &amp; Supply Forecast'!S78-'7. Demand &amp; Supply Forecast'!M78)</f>
        <v/>
      </c>
    </row>
    <row r="72" spans="2:23" x14ac:dyDescent="0.2">
      <c r="B72" s="15" t="str">
        <f>IF('3. Setup &amp; Role Data'!G78="","",'3. Setup &amp; Role Data'!G78)</f>
        <v/>
      </c>
      <c r="C72" s="15" t="str">
        <f>IF('6. Role Evaluation'!H74="","No",'6. Role Evaluation'!H74)</f>
        <v>No</v>
      </c>
      <c r="D72" s="15" t="str">
        <f t="shared" si="1"/>
        <v/>
      </c>
      <c r="E72" s="15" t="str">
        <f t="array" aca="1" ref="E72" ca="1">IFERROR(INDEX(Include,SMALL((IF(LEN(Include),ROW(INDIRECT("1:"&amp;ROWS(Include))))),ROW(B70)),1),"")</f>
        <v/>
      </c>
      <c r="F72" s="15" t="str">
        <f ca="1">IF(E72="","",INDEX('3. Setup &amp; Role Data'!$G$9:$I$109,MATCH(E72,Role,0),2))</f>
        <v/>
      </c>
      <c r="G72" s="15" t="str">
        <f ca="1">IF(E72="","",INDEX('3. Setup &amp; Role Data'!$G$9:$I$109,MATCH(E72,Role,0),3))</f>
        <v/>
      </c>
      <c r="H72" s="15" t="str">
        <f ca="1">IF(E72="","",INDEX('6. Role Evaluation'!$B$5:$G$104,MATCH(E72,Role,0),2))</f>
        <v/>
      </c>
      <c r="I72" s="15" t="str">
        <f ca="1">IF(E72="","",INDEX('6. Role Evaluation'!$B$5:$G$104,MATCH(E72,Role,0),3))</f>
        <v/>
      </c>
      <c r="J72" s="15" t="str">
        <f ca="1">IF(E72="","",INDEX('6. Role Evaluation'!$B$5:$G$104,MATCH(E72,Role,0),4))</f>
        <v/>
      </c>
      <c r="K72" s="15" t="str">
        <f ca="1">IF(E72="","",INDEX('6. Role Evaluation'!$B$5:$G$104,MATCH(E72,Role,0),6))</f>
        <v/>
      </c>
      <c r="L72" s="15" t="str">
        <f ca="1">IF(K72='Hidden-Menus'!$E$3,1,IF(K72='Hidden-Menus'!$E$5,-1,IF(K72='Hidden-Menus'!$E$4,0,"")))</f>
        <v/>
      </c>
      <c r="M72" s="15" t="str">
        <f ca="1">IF(E72="","",INDEX('6. Role Evaluation'!$B$5:$G$104,MATCH(E72,Role,0),5))</f>
        <v/>
      </c>
      <c r="N72" s="15">
        <f ca="1">IF(M72='Hidden-Menus'!$F$3,1,IF(M72='Hidden-Menus'!$F$5,-1,0))</f>
        <v>0</v>
      </c>
      <c r="O72" s="15" t="str">
        <f ca="1">IF('7. Demand &amp; Supply Forecast'!B79="","",F72+F72*'7. Demand &amp; Supply Forecast'!F79)</f>
        <v/>
      </c>
      <c r="P72" s="15" t="str">
        <f ca="1">IF('7. Demand &amp; Supply Forecast'!B79="","",O72+O72*'7. Demand &amp; Supply Forecast'!F79)</f>
        <v/>
      </c>
      <c r="Q72" s="15" t="str">
        <f ca="1">IF('7. Demand &amp; Supply Forecast'!B79="","",P72+P72*'7. Demand &amp; Supply Forecast'!F79)</f>
        <v/>
      </c>
      <c r="R72" s="15" t="str">
        <f ca="1">IF($E72="","",MROUND(O72*'7. Demand &amp; Supply Forecast'!K79,1000))</f>
        <v/>
      </c>
      <c r="S72" s="15" t="str">
        <f ca="1">IF($E72="","",MROUND(P72*'7. Demand &amp; Supply Forecast'!L79,1000))</f>
        <v/>
      </c>
      <c r="T72" s="15" t="str">
        <f ca="1">IF($E72="","",MROUND(Q72*'7. Demand &amp; Supply Forecast'!M79,1000))</f>
        <v/>
      </c>
      <c r="U72" s="15" t="str">
        <f ca="1">IF(E72="","",'7. Demand &amp; Supply Forecast'!Q79-'7. Demand &amp; Supply Forecast'!K79)</f>
        <v/>
      </c>
      <c r="V72" s="15" t="str">
        <f ca="1">IF(E72="","",'7. Demand &amp; Supply Forecast'!R79-'7. Demand &amp; Supply Forecast'!L79)</f>
        <v/>
      </c>
      <c r="W72" s="15" t="str">
        <f ca="1">IF(E72="","",'7. Demand &amp; Supply Forecast'!S79-'7. Demand &amp; Supply Forecast'!M79)</f>
        <v/>
      </c>
    </row>
    <row r="73" spans="2:23" x14ac:dyDescent="0.2">
      <c r="B73" s="15" t="str">
        <f>IF('3. Setup &amp; Role Data'!G79="","",'3. Setup &amp; Role Data'!G79)</f>
        <v/>
      </c>
      <c r="C73" s="15" t="str">
        <f>IF('6. Role Evaluation'!H75="","No",'6. Role Evaluation'!H75)</f>
        <v>No</v>
      </c>
      <c r="D73" s="15" t="str">
        <f t="shared" si="1"/>
        <v/>
      </c>
      <c r="E73" s="15" t="str">
        <f t="array" aca="1" ref="E73" ca="1">IFERROR(INDEX(Include,SMALL((IF(LEN(Include),ROW(INDIRECT("1:"&amp;ROWS(Include))))),ROW(B71)),1),"")</f>
        <v/>
      </c>
      <c r="F73" s="15" t="str">
        <f ca="1">IF(E73="","",INDEX('3. Setup &amp; Role Data'!$G$9:$I$109,MATCH(E73,Role,0),2))</f>
        <v/>
      </c>
      <c r="G73" s="15" t="str">
        <f ca="1">IF(E73="","",INDEX('3. Setup &amp; Role Data'!$G$9:$I$109,MATCH(E73,Role,0),3))</f>
        <v/>
      </c>
      <c r="H73" s="15" t="str">
        <f ca="1">IF(E73="","",INDEX('6. Role Evaluation'!$B$5:$G$104,MATCH(E73,Role,0),2))</f>
        <v/>
      </c>
      <c r="I73" s="15" t="str">
        <f ca="1">IF(E73="","",INDEX('6. Role Evaluation'!$B$5:$G$104,MATCH(E73,Role,0),3))</f>
        <v/>
      </c>
      <c r="J73" s="15" t="str">
        <f ca="1">IF(E73="","",INDEX('6. Role Evaluation'!$B$5:$G$104,MATCH(E73,Role,0),4))</f>
        <v/>
      </c>
      <c r="K73" s="15" t="str">
        <f ca="1">IF(E73="","",INDEX('6. Role Evaluation'!$B$5:$G$104,MATCH(E73,Role,0),6))</f>
        <v/>
      </c>
      <c r="L73" s="15" t="str">
        <f ca="1">IF(K73='Hidden-Menus'!$E$3,1,IF(K73='Hidden-Menus'!$E$5,-1,IF(K73='Hidden-Menus'!$E$4,0,"")))</f>
        <v/>
      </c>
      <c r="M73" s="15" t="str">
        <f ca="1">IF(E73="","",INDEX('6. Role Evaluation'!$B$5:$G$104,MATCH(E73,Role,0),5))</f>
        <v/>
      </c>
      <c r="N73" s="15">
        <f ca="1">IF(M73='Hidden-Menus'!$F$3,1,IF(M73='Hidden-Menus'!$F$5,-1,0))</f>
        <v>0</v>
      </c>
      <c r="O73" s="15" t="str">
        <f ca="1">IF('7. Demand &amp; Supply Forecast'!B80="","",F73+F73*'7. Demand &amp; Supply Forecast'!F80)</f>
        <v/>
      </c>
      <c r="P73" s="15" t="str">
        <f ca="1">IF('7. Demand &amp; Supply Forecast'!B80="","",O73+O73*'7. Demand &amp; Supply Forecast'!F80)</f>
        <v/>
      </c>
      <c r="Q73" s="15" t="str">
        <f ca="1">IF('7. Demand &amp; Supply Forecast'!B80="","",P73+P73*'7. Demand &amp; Supply Forecast'!F80)</f>
        <v/>
      </c>
      <c r="R73" s="15" t="str">
        <f ca="1">IF($E73="","",MROUND(O73*'7. Demand &amp; Supply Forecast'!K80,1000))</f>
        <v/>
      </c>
      <c r="S73" s="15" t="str">
        <f ca="1">IF($E73="","",MROUND(P73*'7. Demand &amp; Supply Forecast'!L80,1000))</f>
        <v/>
      </c>
      <c r="T73" s="15" t="str">
        <f ca="1">IF($E73="","",MROUND(Q73*'7. Demand &amp; Supply Forecast'!M80,1000))</f>
        <v/>
      </c>
      <c r="U73" s="15" t="str">
        <f ca="1">IF(E73="","",'7. Demand &amp; Supply Forecast'!Q80-'7. Demand &amp; Supply Forecast'!K80)</f>
        <v/>
      </c>
      <c r="V73" s="15" t="str">
        <f ca="1">IF(E73="","",'7. Demand &amp; Supply Forecast'!R80-'7. Demand &amp; Supply Forecast'!L80)</f>
        <v/>
      </c>
      <c r="W73" s="15" t="str">
        <f ca="1">IF(E73="","",'7. Demand &amp; Supply Forecast'!S80-'7. Demand &amp; Supply Forecast'!M80)</f>
        <v/>
      </c>
    </row>
    <row r="74" spans="2:23" x14ac:dyDescent="0.2">
      <c r="B74" s="15" t="str">
        <f>IF('3. Setup &amp; Role Data'!G80="","",'3. Setup &amp; Role Data'!G80)</f>
        <v/>
      </c>
      <c r="C74" s="15" t="str">
        <f>IF('6. Role Evaluation'!H76="","No",'6. Role Evaluation'!H76)</f>
        <v>No</v>
      </c>
      <c r="D74" s="15" t="str">
        <f t="shared" si="1"/>
        <v/>
      </c>
      <c r="E74" s="15" t="str">
        <f t="array" aca="1" ref="E74" ca="1">IFERROR(INDEX(Include,SMALL((IF(LEN(Include),ROW(INDIRECT("1:"&amp;ROWS(Include))))),ROW(B72)),1),"")</f>
        <v/>
      </c>
      <c r="F74" s="15" t="str">
        <f ca="1">IF(E74="","",INDEX('3. Setup &amp; Role Data'!$G$9:$I$109,MATCH(E74,Role,0),2))</f>
        <v/>
      </c>
      <c r="G74" s="15" t="str">
        <f ca="1">IF(E74="","",INDEX('3. Setup &amp; Role Data'!$G$9:$I$109,MATCH(E74,Role,0),3))</f>
        <v/>
      </c>
      <c r="H74" s="15" t="str">
        <f ca="1">IF(E74="","",INDEX('6. Role Evaluation'!$B$5:$G$104,MATCH(E74,Role,0),2))</f>
        <v/>
      </c>
      <c r="I74" s="15" t="str">
        <f ca="1">IF(E74="","",INDEX('6. Role Evaluation'!$B$5:$G$104,MATCH(E74,Role,0),3))</f>
        <v/>
      </c>
      <c r="J74" s="15" t="str">
        <f ca="1">IF(E74="","",INDEX('6. Role Evaluation'!$B$5:$G$104,MATCH(E74,Role,0),4))</f>
        <v/>
      </c>
      <c r="K74" s="15" t="str">
        <f ca="1">IF(E74="","",INDEX('6. Role Evaluation'!$B$5:$G$104,MATCH(E74,Role,0),6))</f>
        <v/>
      </c>
      <c r="L74" s="15" t="str">
        <f ca="1">IF(K74='Hidden-Menus'!$E$3,1,IF(K74='Hidden-Menus'!$E$5,-1,IF(K74='Hidden-Menus'!$E$4,0,"")))</f>
        <v/>
      </c>
      <c r="M74" s="15" t="str">
        <f ca="1">IF(E74="","",INDEX('6. Role Evaluation'!$B$5:$G$104,MATCH(E74,Role,0),5))</f>
        <v/>
      </c>
      <c r="N74" s="15">
        <f ca="1">IF(M74='Hidden-Menus'!$F$3,1,IF(M74='Hidden-Menus'!$F$5,-1,0))</f>
        <v>0</v>
      </c>
      <c r="O74" s="15" t="str">
        <f ca="1">IF('7. Demand &amp; Supply Forecast'!B81="","",F74+F74*'7. Demand &amp; Supply Forecast'!F81)</f>
        <v/>
      </c>
      <c r="P74" s="15" t="str">
        <f ca="1">IF('7. Demand &amp; Supply Forecast'!B81="","",O74+O74*'7. Demand &amp; Supply Forecast'!F81)</f>
        <v/>
      </c>
      <c r="Q74" s="15" t="str">
        <f ca="1">IF('7. Demand &amp; Supply Forecast'!B81="","",P74+P74*'7. Demand &amp; Supply Forecast'!F81)</f>
        <v/>
      </c>
      <c r="R74" s="15" t="str">
        <f ca="1">IF($E74="","",MROUND(O74*'7. Demand &amp; Supply Forecast'!K81,1000))</f>
        <v/>
      </c>
      <c r="S74" s="15" t="str">
        <f ca="1">IF($E74="","",MROUND(P74*'7. Demand &amp; Supply Forecast'!L81,1000))</f>
        <v/>
      </c>
      <c r="T74" s="15" t="str">
        <f ca="1">IF($E74="","",MROUND(Q74*'7. Demand &amp; Supply Forecast'!M81,1000))</f>
        <v/>
      </c>
      <c r="U74" s="15" t="str">
        <f ca="1">IF(E74="","",'7. Demand &amp; Supply Forecast'!Q81-'7. Demand &amp; Supply Forecast'!K81)</f>
        <v/>
      </c>
      <c r="V74" s="15" t="str">
        <f ca="1">IF(E74="","",'7. Demand &amp; Supply Forecast'!R81-'7. Demand &amp; Supply Forecast'!L81)</f>
        <v/>
      </c>
      <c r="W74" s="15" t="str">
        <f ca="1">IF(E74="","",'7. Demand &amp; Supply Forecast'!S81-'7. Demand &amp; Supply Forecast'!M81)</f>
        <v/>
      </c>
    </row>
    <row r="75" spans="2:23" x14ac:dyDescent="0.2">
      <c r="B75" s="15" t="str">
        <f>IF('3. Setup &amp; Role Data'!G81="","",'3. Setup &amp; Role Data'!G81)</f>
        <v/>
      </c>
      <c r="C75" s="15" t="str">
        <f>IF('6. Role Evaluation'!H77="","No",'6. Role Evaluation'!H77)</f>
        <v>No</v>
      </c>
      <c r="D75" s="15" t="str">
        <f t="shared" si="1"/>
        <v/>
      </c>
      <c r="E75" s="15" t="str">
        <f t="array" aca="1" ref="E75" ca="1">IFERROR(INDEX(Include,SMALL((IF(LEN(Include),ROW(INDIRECT("1:"&amp;ROWS(Include))))),ROW(B73)),1),"")</f>
        <v/>
      </c>
      <c r="F75" s="15" t="str">
        <f ca="1">IF(E75="","",INDEX('3. Setup &amp; Role Data'!$G$9:$I$109,MATCH(E75,Role,0),2))</f>
        <v/>
      </c>
      <c r="G75" s="15" t="str">
        <f ca="1">IF(E75="","",INDEX('3. Setup &amp; Role Data'!$G$9:$I$109,MATCH(E75,Role,0),3))</f>
        <v/>
      </c>
      <c r="H75" s="15" t="str">
        <f ca="1">IF(E75="","",INDEX('6. Role Evaluation'!$B$5:$G$104,MATCH(E75,Role,0),2))</f>
        <v/>
      </c>
      <c r="I75" s="15" t="str">
        <f ca="1">IF(E75="","",INDEX('6. Role Evaluation'!$B$5:$G$104,MATCH(E75,Role,0),3))</f>
        <v/>
      </c>
      <c r="J75" s="15" t="str">
        <f ca="1">IF(E75="","",INDEX('6. Role Evaluation'!$B$5:$G$104,MATCH(E75,Role,0),4))</f>
        <v/>
      </c>
      <c r="K75" s="15" t="str">
        <f ca="1">IF(E75="","",INDEX('6. Role Evaluation'!$B$5:$G$104,MATCH(E75,Role,0),6))</f>
        <v/>
      </c>
      <c r="L75" s="15" t="str">
        <f ca="1">IF(K75='Hidden-Menus'!$E$3,1,IF(K75='Hidden-Menus'!$E$5,-1,IF(K75='Hidden-Menus'!$E$4,0,"")))</f>
        <v/>
      </c>
      <c r="M75" s="15" t="str">
        <f ca="1">IF(E75="","",INDEX('6. Role Evaluation'!$B$5:$G$104,MATCH(E75,Role,0),5))</f>
        <v/>
      </c>
      <c r="N75" s="15">
        <f ca="1">IF(M75='Hidden-Menus'!$F$3,1,IF(M75='Hidden-Menus'!$F$5,-1,0))</f>
        <v>0</v>
      </c>
      <c r="O75" s="15" t="str">
        <f ca="1">IF('7. Demand &amp; Supply Forecast'!B82="","",F75+F75*'7. Demand &amp; Supply Forecast'!F82)</f>
        <v/>
      </c>
      <c r="P75" s="15" t="str">
        <f ca="1">IF('7. Demand &amp; Supply Forecast'!B82="","",O75+O75*'7. Demand &amp; Supply Forecast'!F82)</f>
        <v/>
      </c>
      <c r="Q75" s="15" t="str">
        <f ca="1">IF('7. Demand &amp; Supply Forecast'!B82="","",P75+P75*'7. Demand &amp; Supply Forecast'!F82)</f>
        <v/>
      </c>
      <c r="R75" s="15" t="str">
        <f ca="1">IF($E75="","",MROUND(O75*'7. Demand &amp; Supply Forecast'!K82,1000))</f>
        <v/>
      </c>
      <c r="S75" s="15" t="str">
        <f ca="1">IF($E75="","",MROUND(P75*'7. Demand &amp; Supply Forecast'!L82,1000))</f>
        <v/>
      </c>
      <c r="T75" s="15" t="str">
        <f ca="1">IF($E75="","",MROUND(Q75*'7. Demand &amp; Supply Forecast'!M82,1000))</f>
        <v/>
      </c>
      <c r="U75" s="15" t="str">
        <f ca="1">IF(E75="","",'7. Demand &amp; Supply Forecast'!Q82-'7. Demand &amp; Supply Forecast'!K82)</f>
        <v/>
      </c>
      <c r="V75" s="15" t="str">
        <f ca="1">IF(E75="","",'7. Demand &amp; Supply Forecast'!R82-'7. Demand &amp; Supply Forecast'!L82)</f>
        <v/>
      </c>
      <c r="W75" s="15" t="str">
        <f ca="1">IF(E75="","",'7. Demand &amp; Supply Forecast'!S82-'7. Demand &amp; Supply Forecast'!M82)</f>
        <v/>
      </c>
    </row>
    <row r="76" spans="2:23" x14ac:dyDescent="0.2">
      <c r="B76" s="15" t="str">
        <f>IF('3. Setup &amp; Role Data'!G82="","",'3. Setup &amp; Role Data'!G82)</f>
        <v/>
      </c>
      <c r="C76" s="15" t="str">
        <f>IF('6. Role Evaluation'!H78="","No",'6. Role Evaluation'!H78)</f>
        <v>No</v>
      </c>
      <c r="D76" s="15" t="str">
        <f t="shared" si="1"/>
        <v/>
      </c>
      <c r="E76" s="15" t="str">
        <f t="array" aca="1" ref="E76" ca="1">IFERROR(INDEX(Include,SMALL((IF(LEN(Include),ROW(INDIRECT("1:"&amp;ROWS(Include))))),ROW(B74)),1),"")</f>
        <v/>
      </c>
      <c r="F76" s="15" t="str">
        <f ca="1">IF(E76="","",INDEX('3. Setup &amp; Role Data'!$G$9:$I$109,MATCH(E76,Role,0),2))</f>
        <v/>
      </c>
      <c r="G76" s="15" t="str">
        <f ca="1">IF(E76="","",INDEX('3. Setup &amp; Role Data'!$G$9:$I$109,MATCH(E76,Role,0),3))</f>
        <v/>
      </c>
      <c r="H76" s="15" t="str">
        <f ca="1">IF(E76="","",INDEX('6. Role Evaluation'!$B$5:$G$104,MATCH(E76,Role,0),2))</f>
        <v/>
      </c>
      <c r="I76" s="15" t="str">
        <f ca="1">IF(E76="","",INDEX('6. Role Evaluation'!$B$5:$G$104,MATCH(E76,Role,0),3))</f>
        <v/>
      </c>
      <c r="J76" s="15" t="str">
        <f ca="1">IF(E76="","",INDEX('6. Role Evaluation'!$B$5:$G$104,MATCH(E76,Role,0),4))</f>
        <v/>
      </c>
      <c r="K76" s="15" t="str">
        <f ca="1">IF(E76="","",INDEX('6. Role Evaluation'!$B$5:$G$104,MATCH(E76,Role,0),6))</f>
        <v/>
      </c>
      <c r="L76" s="15" t="str">
        <f ca="1">IF(K76='Hidden-Menus'!$E$3,1,IF(K76='Hidden-Menus'!$E$5,-1,IF(K76='Hidden-Menus'!$E$4,0,"")))</f>
        <v/>
      </c>
      <c r="M76" s="15" t="str">
        <f ca="1">IF(E76="","",INDEX('6. Role Evaluation'!$B$5:$G$104,MATCH(E76,Role,0),5))</f>
        <v/>
      </c>
      <c r="N76" s="15">
        <f ca="1">IF(M76='Hidden-Menus'!$F$3,1,IF(M76='Hidden-Menus'!$F$5,-1,0))</f>
        <v>0</v>
      </c>
      <c r="O76" s="15" t="str">
        <f ca="1">IF('7. Demand &amp; Supply Forecast'!B83="","",F76+F76*'7. Demand &amp; Supply Forecast'!F83)</f>
        <v/>
      </c>
      <c r="P76" s="15" t="str">
        <f ca="1">IF('7. Demand &amp; Supply Forecast'!B83="","",O76+O76*'7. Demand &amp; Supply Forecast'!F83)</f>
        <v/>
      </c>
      <c r="Q76" s="15" t="str">
        <f ca="1">IF('7. Demand &amp; Supply Forecast'!B83="","",P76+P76*'7. Demand &amp; Supply Forecast'!F83)</f>
        <v/>
      </c>
      <c r="R76" s="15" t="str">
        <f ca="1">IF($E76="","",MROUND(O76*'7. Demand &amp; Supply Forecast'!K83,1000))</f>
        <v/>
      </c>
      <c r="S76" s="15" t="str">
        <f ca="1">IF($E76="","",MROUND(P76*'7. Demand &amp; Supply Forecast'!L83,1000))</f>
        <v/>
      </c>
      <c r="T76" s="15" t="str">
        <f ca="1">IF($E76="","",MROUND(Q76*'7. Demand &amp; Supply Forecast'!M83,1000))</f>
        <v/>
      </c>
      <c r="U76" s="15" t="str">
        <f ca="1">IF(E76="","",'7. Demand &amp; Supply Forecast'!Q83-'7. Demand &amp; Supply Forecast'!K83)</f>
        <v/>
      </c>
      <c r="V76" s="15" t="str">
        <f ca="1">IF(E76="","",'7. Demand &amp; Supply Forecast'!R83-'7. Demand &amp; Supply Forecast'!L83)</f>
        <v/>
      </c>
      <c r="W76" s="15" t="str">
        <f ca="1">IF(E76="","",'7. Demand &amp; Supply Forecast'!S83-'7. Demand &amp; Supply Forecast'!M83)</f>
        <v/>
      </c>
    </row>
    <row r="77" spans="2:23" x14ac:dyDescent="0.2">
      <c r="B77" s="15" t="str">
        <f>IF('3. Setup &amp; Role Data'!G83="","",'3. Setup &amp; Role Data'!G83)</f>
        <v/>
      </c>
      <c r="C77" s="15" t="str">
        <f>IF('6. Role Evaluation'!H79="","No",'6. Role Evaluation'!H79)</f>
        <v>No</v>
      </c>
      <c r="D77" s="15" t="str">
        <f t="shared" si="1"/>
        <v/>
      </c>
      <c r="E77" s="15" t="str">
        <f t="array" aca="1" ref="E77" ca="1">IFERROR(INDEX(Include,SMALL((IF(LEN(Include),ROW(INDIRECT("1:"&amp;ROWS(Include))))),ROW(B75)),1),"")</f>
        <v/>
      </c>
      <c r="F77" s="15" t="str">
        <f ca="1">IF(E77="","",INDEX('3. Setup &amp; Role Data'!$G$9:$I$109,MATCH(E77,Role,0),2))</f>
        <v/>
      </c>
      <c r="G77" s="15" t="str">
        <f ca="1">IF(E77="","",INDEX('3. Setup &amp; Role Data'!$G$9:$I$109,MATCH(E77,Role,0),3))</f>
        <v/>
      </c>
      <c r="H77" s="15" t="str">
        <f ca="1">IF(E77="","",INDEX('6. Role Evaluation'!$B$5:$G$104,MATCH(E77,Role,0),2))</f>
        <v/>
      </c>
      <c r="I77" s="15" t="str">
        <f ca="1">IF(E77="","",INDEX('6. Role Evaluation'!$B$5:$G$104,MATCH(E77,Role,0),3))</f>
        <v/>
      </c>
      <c r="J77" s="15" t="str">
        <f ca="1">IF(E77="","",INDEX('6. Role Evaluation'!$B$5:$G$104,MATCH(E77,Role,0),4))</f>
        <v/>
      </c>
      <c r="K77" s="15" t="str">
        <f ca="1">IF(E77="","",INDEX('6. Role Evaluation'!$B$5:$G$104,MATCH(E77,Role,0),6))</f>
        <v/>
      </c>
      <c r="L77" s="15" t="str">
        <f ca="1">IF(K77='Hidden-Menus'!$E$3,1,IF(K77='Hidden-Menus'!$E$5,-1,IF(K77='Hidden-Menus'!$E$4,0,"")))</f>
        <v/>
      </c>
      <c r="M77" s="15" t="str">
        <f ca="1">IF(E77="","",INDEX('6. Role Evaluation'!$B$5:$G$104,MATCH(E77,Role,0),5))</f>
        <v/>
      </c>
      <c r="N77" s="15">
        <f ca="1">IF(M77='Hidden-Menus'!$F$3,1,IF(M77='Hidden-Menus'!$F$5,-1,0))</f>
        <v>0</v>
      </c>
      <c r="O77" s="15" t="str">
        <f ca="1">IF('7. Demand &amp; Supply Forecast'!B84="","",F77+F77*'7. Demand &amp; Supply Forecast'!F84)</f>
        <v/>
      </c>
      <c r="P77" s="15" t="str">
        <f ca="1">IF('7. Demand &amp; Supply Forecast'!B84="","",O77+O77*'7. Demand &amp; Supply Forecast'!F84)</f>
        <v/>
      </c>
      <c r="Q77" s="15" t="str">
        <f ca="1">IF('7. Demand &amp; Supply Forecast'!B84="","",P77+P77*'7. Demand &amp; Supply Forecast'!F84)</f>
        <v/>
      </c>
      <c r="R77" s="15" t="str">
        <f ca="1">IF($E77="","",MROUND(O77*'7. Demand &amp; Supply Forecast'!K84,1000))</f>
        <v/>
      </c>
      <c r="S77" s="15" t="str">
        <f ca="1">IF($E77="","",MROUND(P77*'7. Demand &amp; Supply Forecast'!L84,1000))</f>
        <v/>
      </c>
      <c r="T77" s="15" t="str">
        <f ca="1">IF($E77="","",MROUND(Q77*'7. Demand &amp; Supply Forecast'!M84,1000))</f>
        <v/>
      </c>
      <c r="U77" s="15" t="str">
        <f ca="1">IF(E77="","",'7. Demand &amp; Supply Forecast'!Q84-'7. Demand &amp; Supply Forecast'!K84)</f>
        <v/>
      </c>
      <c r="V77" s="15" t="str">
        <f ca="1">IF(E77="","",'7. Demand &amp; Supply Forecast'!R84-'7. Demand &amp; Supply Forecast'!L84)</f>
        <v/>
      </c>
      <c r="W77" s="15" t="str">
        <f ca="1">IF(E77="","",'7. Demand &amp; Supply Forecast'!S84-'7. Demand &amp; Supply Forecast'!M84)</f>
        <v/>
      </c>
    </row>
    <row r="78" spans="2:23" x14ac:dyDescent="0.2">
      <c r="B78" s="15" t="str">
        <f>IF('3. Setup &amp; Role Data'!G84="","",'3. Setup &amp; Role Data'!G84)</f>
        <v/>
      </c>
      <c r="C78" s="15" t="str">
        <f>IF('6. Role Evaluation'!H80="","No",'6. Role Evaluation'!H80)</f>
        <v>No</v>
      </c>
      <c r="D78" s="15" t="str">
        <f t="shared" si="1"/>
        <v/>
      </c>
      <c r="E78" s="15" t="str">
        <f t="array" aca="1" ref="E78" ca="1">IFERROR(INDEX(Include,SMALL((IF(LEN(Include),ROW(INDIRECT("1:"&amp;ROWS(Include))))),ROW(B76)),1),"")</f>
        <v/>
      </c>
      <c r="F78" s="15" t="str">
        <f ca="1">IF(E78="","",INDEX('3. Setup &amp; Role Data'!$G$9:$I$109,MATCH(E78,Role,0),2))</f>
        <v/>
      </c>
      <c r="G78" s="15" t="str">
        <f ca="1">IF(E78="","",INDEX('3. Setup &amp; Role Data'!$G$9:$I$109,MATCH(E78,Role,0),3))</f>
        <v/>
      </c>
      <c r="H78" s="15" t="str">
        <f ca="1">IF(E78="","",INDEX('6. Role Evaluation'!$B$5:$G$104,MATCH(E78,Role,0),2))</f>
        <v/>
      </c>
      <c r="I78" s="15" t="str">
        <f ca="1">IF(E78="","",INDEX('6. Role Evaluation'!$B$5:$G$104,MATCH(E78,Role,0),3))</f>
        <v/>
      </c>
      <c r="J78" s="15" t="str">
        <f ca="1">IF(E78="","",INDEX('6. Role Evaluation'!$B$5:$G$104,MATCH(E78,Role,0),4))</f>
        <v/>
      </c>
      <c r="K78" s="15" t="str">
        <f ca="1">IF(E78="","",INDEX('6. Role Evaluation'!$B$5:$G$104,MATCH(E78,Role,0),6))</f>
        <v/>
      </c>
      <c r="L78" s="15" t="str">
        <f ca="1">IF(K78='Hidden-Menus'!$E$3,1,IF(K78='Hidden-Menus'!$E$5,-1,IF(K78='Hidden-Menus'!$E$4,0,"")))</f>
        <v/>
      </c>
      <c r="M78" s="15" t="str">
        <f ca="1">IF(E78="","",INDEX('6. Role Evaluation'!$B$5:$G$104,MATCH(E78,Role,0),5))</f>
        <v/>
      </c>
      <c r="N78" s="15">
        <f ca="1">IF(M78='Hidden-Menus'!$F$3,1,IF(M78='Hidden-Menus'!$F$5,-1,0))</f>
        <v>0</v>
      </c>
      <c r="O78" s="15" t="str">
        <f ca="1">IF('7. Demand &amp; Supply Forecast'!B85="","",F78+F78*'7. Demand &amp; Supply Forecast'!F85)</f>
        <v/>
      </c>
      <c r="P78" s="15" t="str">
        <f ca="1">IF('7. Demand &amp; Supply Forecast'!B85="","",O78+O78*'7. Demand &amp; Supply Forecast'!F85)</f>
        <v/>
      </c>
      <c r="Q78" s="15" t="str">
        <f ca="1">IF('7. Demand &amp; Supply Forecast'!B85="","",P78+P78*'7. Demand &amp; Supply Forecast'!F85)</f>
        <v/>
      </c>
      <c r="R78" s="15" t="str">
        <f ca="1">IF($E78="","",MROUND(O78*'7. Demand &amp; Supply Forecast'!K85,1000))</f>
        <v/>
      </c>
      <c r="S78" s="15" t="str">
        <f ca="1">IF($E78="","",MROUND(P78*'7. Demand &amp; Supply Forecast'!L85,1000))</f>
        <v/>
      </c>
      <c r="T78" s="15" t="str">
        <f ca="1">IF($E78="","",MROUND(Q78*'7. Demand &amp; Supply Forecast'!M85,1000))</f>
        <v/>
      </c>
      <c r="U78" s="15" t="str">
        <f ca="1">IF(E78="","",'7. Demand &amp; Supply Forecast'!Q85-'7. Demand &amp; Supply Forecast'!K85)</f>
        <v/>
      </c>
      <c r="V78" s="15" t="str">
        <f ca="1">IF(E78="","",'7. Demand &amp; Supply Forecast'!R85-'7. Demand &amp; Supply Forecast'!L85)</f>
        <v/>
      </c>
      <c r="W78" s="15" t="str">
        <f ca="1">IF(E78="","",'7. Demand &amp; Supply Forecast'!S85-'7. Demand &amp; Supply Forecast'!M85)</f>
        <v/>
      </c>
    </row>
    <row r="79" spans="2:23" x14ac:dyDescent="0.2">
      <c r="B79" s="15" t="str">
        <f>IF('3. Setup &amp; Role Data'!G85="","",'3. Setup &amp; Role Data'!G85)</f>
        <v/>
      </c>
      <c r="C79" s="15" t="str">
        <f>IF('6. Role Evaluation'!H81="","No",'6. Role Evaluation'!H81)</f>
        <v>No</v>
      </c>
      <c r="D79" s="15" t="str">
        <f t="shared" si="1"/>
        <v/>
      </c>
      <c r="E79" s="15" t="str">
        <f t="array" aca="1" ref="E79" ca="1">IFERROR(INDEX(Include,SMALL((IF(LEN(Include),ROW(INDIRECT("1:"&amp;ROWS(Include))))),ROW(B77)),1),"")</f>
        <v/>
      </c>
      <c r="F79" s="15" t="str">
        <f ca="1">IF(E79="","",INDEX('3. Setup &amp; Role Data'!$G$9:$I$109,MATCH(E79,Role,0),2))</f>
        <v/>
      </c>
      <c r="G79" s="15" t="str">
        <f ca="1">IF(E79="","",INDEX('3. Setup &amp; Role Data'!$G$9:$I$109,MATCH(E79,Role,0),3))</f>
        <v/>
      </c>
      <c r="H79" s="15" t="str">
        <f ca="1">IF(E79="","",INDEX('6. Role Evaluation'!$B$5:$G$104,MATCH(E79,Role,0),2))</f>
        <v/>
      </c>
      <c r="I79" s="15" t="str">
        <f ca="1">IF(E79="","",INDEX('6. Role Evaluation'!$B$5:$G$104,MATCH(E79,Role,0),3))</f>
        <v/>
      </c>
      <c r="J79" s="15" t="str">
        <f ca="1">IF(E79="","",INDEX('6. Role Evaluation'!$B$5:$G$104,MATCH(E79,Role,0),4))</f>
        <v/>
      </c>
      <c r="K79" s="15" t="str">
        <f ca="1">IF(E79="","",INDEX('6. Role Evaluation'!$B$5:$G$104,MATCH(E79,Role,0),6))</f>
        <v/>
      </c>
      <c r="L79" s="15" t="str">
        <f ca="1">IF(K79='Hidden-Menus'!$E$3,1,IF(K79='Hidden-Menus'!$E$5,-1,IF(K79='Hidden-Menus'!$E$4,0,"")))</f>
        <v/>
      </c>
      <c r="M79" s="15" t="str">
        <f ca="1">IF(E79="","",INDEX('6. Role Evaluation'!$B$5:$G$104,MATCH(E79,Role,0),5))</f>
        <v/>
      </c>
      <c r="N79" s="15">
        <f ca="1">IF(M79='Hidden-Menus'!$F$3,1,IF(M79='Hidden-Menus'!$F$5,-1,0))</f>
        <v>0</v>
      </c>
      <c r="O79" s="15" t="str">
        <f ca="1">IF('7. Demand &amp; Supply Forecast'!B86="","",F79+F79*'7. Demand &amp; Supply Forecast'!F86)</f>
        <v/>
      </c>
      <c r="P79" s="15" t="str">
        <f ca="1">IF('7. Demand &amp; Supply Forecast'!B86="","",O79+O79*'7. Demand &amp; Supply Forecast'!F86)</f>
        <v/>
      </c>
      <c r="Q79" s="15" t="str">
        <f ca="1">IF('7. Demand &amp; Supply Forecast'!B86="","",P79+P79*'7. Demand &amp; Supply Forecast'!F86)</f>
        <v/>
      </c>
      <c r="R79" s="15" t="str">
        <f ca="1">IF($E79="","",MROUND(O79*'7. Demand &amp; Supply Forecast'!K86,1000))</f>
        <v/>
      </c>
      <c r="S79" s="15" t="str">
        <f ca="1">IF($E79="","",MROUND(P79*'7. Demand &amp; Supply Forecast'!L86,1000))</f>
        <v/>
      </c>
      <c r="T79" s="15" t="str">
        <f ca="1">IF($E79="","",MROUND(Q79*'7. Demand &amp; Supply Forecast'!M86,1000))</f>
        <v/>
      </c>
      <c r="U79" s="15" t="str">
        <f ca="1">IF(E79="","",'7. Demand &amp; Supply Forecast'!Q86-'7. Demand &amp; Supply Forecast'!K86)</f>
        <v/>
      </c>
      <c r="V79" s="15" t="str">
        <f ca="1">IF(E79="","",'7. Demand &amp; Supply Forecast'!R86-'7. Demand &amp; Supply Forecast'!L86)</f>
        <v/>
      </c>
      <c r="W79" s="15" t="str">
        <f ca="1">IF(E79="","",'7. Demand &amp; Supply Forecast'!S86-'7. Demand &amp; Supply Forecast'!M86)</f>
        <v/>
      </c>
    </row>
    <row r="80" spans="2:23" x14ac:dyDescent="0.2">
      <c r="B80" s="15" t="str">
        <f>IF('3. Setup &amp; Role Data'!G86="","",'3. Setup &amp; Role Data'!G86)</f>
        <v/>
      </c>
      <c r="C80" s="15" t="str">
        <f>IF('6. Role Evaluation'!H82="","No",'6. Role Evaluation'!H82)</f>
        <v>No</v>
      </c>
      <c r="D80" s="15" t="str">
        <f t="shared" si="1"/>
        <v/>
      </c>
      <c r="E80" s="15" t="str">
        <f t="array" aca="1" ref="E80" ca="1">IFERROR(INDEX(Include,SMALL((IF(LEN(Include),ROW(INDIRECT("1:"&amp;ROWS(Include))))),ROW(B78)),1),"")</f>
        <v/>
      </c>
      <c r="F80" s="15" t="str">
        <f ca="1">IF(E80="","",INDEX('3. Setup &amp; Role Data'!$G$9:$I$109,MATCH(E80,Role,0),2))</f>
        <v/>
      </c>
      <c r="G80" s="15" t="str">
        <f ca="1">IF(E80="","",INDEX('3. Setup &amp; Role Data'!$G$9:$I$109,MATCH(E80,Role,0),3))</f>
        <v/>
      </c>
      <c r="H80" s="15" t="str">
        <f ca="1">IF(E80="","",INDEX('6. Role Evaluation'!$B$5:$G$104,MATCH(E80,Role,0),2))</f>
        <v/>
      </c>
      <c r="I80" s="15" t="str">
        <f ca="1">IF(E80="","",INDEX('6. Role Evaluation'!$B$5:$G$104,MATCH(E80,Role,0),3))</f>
        <v/>
      </c>
      <c r="J80" s="15" t="str">
        <f ca="1">IF(E80="","",INDEX('6. Role Evaluation'!$B$5:$G$104,MATCH(E80,Role,0),4))</f>
        <v/>
      </c>
      <c r="K80" s="15" t="str">
        <f ca="1">IF(E80="","",INDEX('6. Role Evaluation'!$B$5:$G$104,MATCH(E80,Role,0),6))</f>
        <v/>
      </c>
      <c r="L80" s="15" t="str">
        <f ca="1">IF(K80='Hidden-Menus'!$E$3,1,IF(K80='Hidden-Menus'!$E$5,-1,IF(K80='Hidden-Menus'!$E$4,0,"")))</f>
        <v/>
      </c>
      <c r="M80" s="15" t="str">
        <f ca="1">IF(E80="","",INDEX('6. Role Evaluation'!$B$5:$G$104,MATCH(E80,Role,0),5))</f>
        <v/>
      </c>
      <c r="N80" s="15">
        <f ca="1">IF(M80='Hidden-Menus'!$F$3,1,IF(M80='Hidden-Menus'!$F$5,-1,0))</f>
        <v>0</v>
      </c>
      <c r="O80" s="15" t="str">
        <f ca="1">IF('7. Demand &amp; Supply Forecast'!B87="","",F80+F80*'7. Demand &amp; Supply Forecast'!F87)</f>
        <v/>
      </c>
      <c r="P80" s="15" t="str">
        <f ca="1">IF('7. Demand &amp; Supply Forecast'!B87="","",O80+O80*'7. Demand &amp; Supply Forecast'!F87)</f>
        <v/>
      </c>
      <c r="Q80" s="15" t="str">
        <f ca="1">IF('7. Demand &amp; Supply Forecast'!B87="","",P80+P80*'7. Demand &amp; Supply Forecast'!F87)</f>
        <v/>
      </c>
      <c r="R80" s="15" t="str">
        <f ca="1">IF($E80="","",MROUND(O80*'7. Demand &amp; Supply Forecast'!K87,1000))</f>
        <v/>
      </c>
      <c r="S80" s="15" t="str">
        <f ca="1">IF($E80="","",MROUND(P80*'7. Demand &amp; Supply Forecast'!L87,1000))</f>
        <v/>
      </c>
      <c r="T80" s="15" t="str">
        <f ca="1">IF($E80="","",MROUND(Q80*'7. Demand &amp; Supply Forecast'!M87,1000))</f>
        <v/>
      </c>
      <c r="U80" s="15" t="str">
        <f ca="1">IF(E80="","",'7. Demand &amp; Supply Forecast'!Q87-'7. Demand &amp; Supply Forecast'!K87)</f>
        <v/>
      </c>
      <c r="V80" s="15" t="str">
        <f ca="1">IF(E80="","",'7. Demand &amp; Supply Forecast'!R87-'7. Demand &amp; Supply Forecast'!L87)</f>
        <v/>
      </c>
      <c r="W80" s="15" t="str">
        <f ca="1">IF(E80="","",'7. Demand &amp; Supply Forecast'!S87-'7. Demand &amp; Supply Forecast'!M87)</f>
        <v/>
      </c>
    </row>
    <row r="81" spans="2:23" x14ac:dyDescent="0.2">
      <c r="B81" s="15" t="str">
        <f>IF('3. Setup &amp; Role Data'!G87="","",'3. Setup &amp; Role Data'!G87)</f>
        <v/>
      </c>
      <c r="C81" s="15" t="str">
        <f>IF('6. Role Evaluation'!H83="","No",'6. Role Evaluation'!H83)</f>
        <v>No</v>
      </c>
      <c r="D81" s="15" t="str">
        <f t="shared" si="1"/>
        <v/>
      </c>
      <c r="E81" s="15" t="str">
        <f t="array" aca="1" ref="E81" ca="1">IFERROR(INDEX(Include,SMALL((IF(LEN(Include),ROW(INDIRECT("1:"&amp;ROWS(Include))))),ROW(B79)),1),"")</f>
        <v/>
      </c>
      <c r="F81" s="15" t="str">
        <f ca="1">IF(E81="","",INDEX('3. Setup &amp; Role Data'!$G$9:$I$109,MATCH(E81,Role,0),2))</f>
        <v/>
      </c>
      <c r="G81" s="15" t="str">
        <f ca="1">IF(E81="","",INDEX('3. Setup &amp; Role Data'!$G$9:$I$109,MATCH(E81,Role,0),3))</f>
        <v/>
      </c>
      <c r="H81" s="15" t="str">
        <f ca="1">IF(E81="","",INDEX('6. Role Evaluation'!$B$5:$G$104,MATCH(E81,Role,0),2))</f>
        <v/>
      </c>
      <c r="I81" s="15" t="str">
        <f ca="1">IF(E81="","",INDEX('6. Role Evaluation'!$B$5:$G$104,MATCH(E81,Role,0),3))</f>
        <v/>
      </c>
      <c r="J81" s="15" t="str">
        <f ca="1">IF(E81="","",INDEX('6. Role Evaluation'!$B$5:$G$104,MATCH(E81,Role,0),4))</f>
        <v/>
      </c>
      <c r="K81" s="15" t="str">
        <f ca="1">IF(E81="","",INDEX('6. Role Evaluation'!$B$5:$G$104,MATCH(E81,Role,0),6))</f>
        <v/>
      </c>
      <c r="L81" s="15" t="str">
        <f ca="1">IF(K81='Hidden-Menus'!$E$3,1,IF(K81='Hidden-Menus'!$E$5,-1,IF(K81='Hidden-Menus'!$E$4,0,"")))</f>
        <v/>
      </c>
      <c r="M81" s="15" t="str">
        <f ca="1">IF(E81="","",INDEX('6. Role Evaluation'!$B$5:$G$104,MATCH(E81,Role,0),5))</f>
        <v/>
      </c>
      <c r="N81" s="15">
        <f ca="1">IF(M81='Hidden-Menus'!$F$3,1,IF(M81='Hidden-Menus'!$F$5,-1,0))</f>
        <v>0</v>
      </c>
      <c r="O81" s="15" t="str">
        <f ca="1">IF('7. Demand &amp; Supply Forecast'!B88="","",F81+F81*'7. Demand &amp; Supply Forecast'!F88)</f>
        <v/>
      </c>
      <c r="P81" s="15" t="str">
        <f ca="1">IF('7. Demand &amp; Supply Forecast'!B88="","",O81+O81*'7. Demand &amp; Supply Forecast'!F88)</f>
        <v/>
      </c>
      <c r="Q81" s="15" t="str">
        <f ca="1">IF('7. Demand &amp; Supply Forecast'!B88="","",P81+P81*'7. Demand &amp; Supply Forecast'!F88)</f>
        <v/>
      </c>
      <c r="R81" s="15" t="str">
        <f ca="1">IF($E81="","",MROUND(O81*'7. Demand &amp; Supply Forecast'!K88,1000))</f>
        <v/>
      </c>
      <c r="S81" s="15" t="str">
        <f ca="1">IF($E81="","",MROUND(P81*'7. Demand &amp; Supply Forecast'!L88,1000))</f>
        <v/>
      </c>
      <c r="T81" s="15" t="str">
        <f ca="1">IF($E81="","",MROUND(Q81*'7. Demand &amp; Supply Forecast'!M88,1000))</f>
        <v/>
      </c>
      <c r="U81" s="15" t="str">
        <f ca="1">IF(E81="","",'7. Demand &amp; Supply Forecast'!Q88-'7. Demand &amp; Supply Forecast'!K88)</f>
        <v/>
      </c>
      <c r="V81" s="15" t="str">
        <f ca="1">IF(E81="","",'7. Demand &amp; Supply Forecast'!R88-'7. Demand &amp; Supply Forecast'!L88)</f>
        <v/>
      </c>
      <c r="W81" s="15" t="str">
        <f ca="1">IF(E81="","",'7. Demand &amp; Supply Forecast'!S88-'7. Demand &amp; Supply Forecast'!M88)</f>
        <v/>
      </c>
    </row>
    <row r="82" spans="2:23" x14ac:dyDescent="0.2">
      <c r="B82" s="15" t="str">
        <f>IF('3. Setup &amp; Role Data'!G88="","",'3. Setup &amp; Role Data'!G88)</f>
        <v/>
      </c>
      <c r="C82" s="15" t="str">
        <f>IF('6. Role Evaluation'!H84="","No",'6. Role Evaluation'!H84)</f>
        <v>No</v>
      </c>
      <c r="D82" s="15" t="str">
        <f t="shared" si="1"/>
        <v/>
      </c>
      <c r="E82" s="15" t="str">
        <f t="array" aca="1" ref="E82" ca="1">IFERROR(INDEX(Include,SMALL((IF(LEN(Include),ROW(INDIRECT("1:"&amp;ROWS(Include))))),ROW(B80)),1),"")</f>
        <v/>
      </c>
      <c r="F82" s="15" t="str">
        <f ca="1">IF(E82="","",INDEX('3. Setup &amp; Role Data'!$G$9:$I$109,MATCH(E82,Role,0),2))</f>
        <v/>
      </c>
      <c r="G82" s="15" t="str">
        <f ca="1">IF(E82="","",INDEX('3. Setup &amp; Role Data'!$G$9:$I$109,MATCH(E82,Role,0),3))</f>
        <v/>
      </c>
      <c r="H82" s="15" t="str">
        <f ca="1">IF(E82="","",INDEX('6. Role Evaluation'!$B$5:$G$104,MATCH(E82,Role,0),2))</f>
        <v/>
      </c>
      <c r="I82" s="15" t="str">
        <f ca="1">IF(E82="","",INDEX('6. Role Evaluation'!$B$5:$G$104,MATCH(E82,Role,0),3))</f>
        <v/>
      </c>
      <c r="J82" s="15" t="str">
        <f ca="1">IF(E82="","",INDEX('6. Role Evaluation'!$B$5:$G$104,MATCH(E82,Role,0),4))</f>
        <v/>
      </c>
      <c r="K82" s="15" t="str">
        <f ca="1">IF(E82="","",INDEX('6. Role Evaluation'!$B$5:$G$104,MATCH(E82,Role,0),6))</f>
        <v/>
      </c>
      <c r="L82" s="15" t="str">
        <f ca="1">IF(K82='Hidden-Menus'!$E$3,1,IF(K82='Hidden-Menus'!$E$5,-1,IF(K82='Hidden-Menus'!$E$4,0,"")))</f>
        <v/>
      </c>
      <c r="M82" s="15" t="str">
        <f ca="1">IF(E82="","",INDEX('6. Role Evaluation'!$B$5:$G$104,MATCH(E82,Role,0),5))</f>
        <v/>
      </c>
      <c r="N82" s="15">
        <f ca="1">IF(M82='Hidden-Menus'!$F$3,1,IF(M82='Hidden-Menus'!$F$5,-1,0))</f>
        <v>0</v>
      </c>
      <c r="O82" s="15" t="str">
        <f ca="1">IF('7. Demand &amp; Supply Forecast'!B89="","",F82+F82*'7. Demand &amp; Supply Forecast'!F89)</f>
        <v/>
      </c>
      <c r="P82" s="15" t="str">
        <f ca="1">IF('7. Demand &amp; Supply Forecast'!B89="","",O82+O82*'7. Demand &amp; Supply Forecast'!F89)</f>
        <v/>
      </c>
      <c r="Q82" s="15" t="str">
        <f ca="1">IF('7. Demand &amp; Supply Forecast'!B89="","",P82+P82*'7. Demand &amp; Supply Forecast'!F89)</f>
        <v/>
      </c>
      <c r="R82" s="15" t="str">
        <f ca="1">IF($E82="","",MROUND(O82*'7. Demand &amp; Supply Forecast'!K89,1000))</f>
        <v/>
      </c>
      <c r="S82" s="15" t="str">
        <f ca="1">IF($E82="","",MROUND(P82*'7. Demand &amp; Supply Forecast'!L89,1000))</f>
        <v/>
      </c>
      <c r="T82" s="15" t="str">
        <f ca="1">IF($E82="","",MROUND(Q82*'7. Demand &amp; Supply Forecast'!M89,1000))</f>
        <v/>
      </c>
      <c r="U82" s="15" t="str">
        <f ca="1">IF(E82="","",'7. Demand &amp; Supply Forecast'!Q89-'7. Demand &amp; Supply Forecast'!K89)</f>
        <v/>
      </c>
      <c r="V82" s="15" t="str">
        <f ca="1">IF(E82="","",'7. Demand &amp; Supply Forecast'!R89-'7. Demand &amp; Supply Forecast'!L89)</f>
        <v/>
      </c>
      <c r="W82" s="15" t="str">
        <f ca="1">IF(E82="","",'7. Demand &amp; Supply Forecast'!S89-'7. Demand &amp; Supply Forecast'!M89)</f>
        <v/>
      </c>
    </row>
    <row r="83" spans="2:23" x14ac:dyDescent="0.2">
      <c r="B83" s="15" t="str">
        <f>IF('3. Setup &amp; Role Data'!G89="","",'3. Setup &amp; Role Data'!G89)</f>
        <v/>
      </c>
      <c r="C83" s="15" t="str">
        <f>IF('6. Role Evaluation'!H85="","No",'6. Role Evaluation'!H85)</f>
        <v>No</v>
      </c>
      <c r="D83" s="15" t="str">
        <f t="shared" si="1"/>
        <v/>
      </c>
      <c r="E83" s="15" t="str">
        <f t="array" aca="1" ref="E83" ca="1">IFERROR(INDEX(Include,SMALL((IF(LEN(Include),ROW(INDIRECT("1:"&amp;ROWS(Include))))),ROW(B81)),1),"")</f>
        <v/>
      </c>
      <c r="F83" s="15" t="str">
        <f ca="1">IF(E83="","",INDEX('3. Setup &amp; Role Data'!$G$9:$I$109,MATCH(E83,Role,0),2))</f>
        <v/>
      </c>
      <c r="G83" s="15" t="str">
        <f ca="1">IF(E83="","",INDEX('3. Setup &amp; Role Data'!$G$9:$I$109,MATCH(E83,Role,0),3))</f>
        <v/>
      </c>
      <c r="H83" s="15" t="str">
        <f ca="1">IF(E83="","",INDEX('6. Role Evaluation'!$B$5:$G$104,MATCH(E83,Role,0),2))</f>
        <v/>
      </c>
      <c r="I83" s="15" t="str">
        <f ca="1">IF(E83="","",INDEX('6. Role Evaluation'!$B$5:$G$104,MATCH(E83,Role,0),3))</f>
        <v/>
      </c>
      <c r="J83" s="15" t="str">
        <f ca="1">IF(E83="","",INDEX('6. Role Evaluation'!$B$5:$G$104,MATCH(E83,Role,0),4))</f>
        <v/>
      </c>
      <c r="K83" s="15" t="str">
        <f ca="1">IF(E83="","",INDEX('6. Role Evaluation'!$B$5:$G$104,MATCH(E83,Role,0),6))</f>
        <v/>
      </c>
      <c r="L83" s="15" t="str">
        <f ca="1">IF(K83='Hidden-Menus'!$E$3,1,IF(K83='Hidden-Menus'!$E$5,-1,IF(K83='Hidden-Menus'!$E$4,0,"")))</f>
        <v/>
      </c>
      <c r="M83" s="15" t="str">
        <f ca="1">IF(E83="","",INDEX('6. Role Evaluation'!$B$5:$G$104,MATCH(E83,Role,0),5))</f>
        <v/>
      </c>
      <c r="N83" s="15">
        <f ca="1">IF(M83='Hidden-Menus'!$F$3,1,IF(M83='Hidden-Menus'!$F$5,-1,0))</f>
        <v>0</v>
      </c>
      <c r="O83" s="15" t="str">
        <f ca="1">IF('7. Demand &amp; Supply Forecast'!B90="","",F83+F83*'7. Demand &amp; Supply Forecast'!F90)</f>
        <v/>
      </c>
      <c r="P83" s="15" t="str">
        <f ca="1">IF('7. Demand &amp; Supply Forecast'!B90="","",O83+O83*'7. Demand &amp; Supply Forecast'!F90)</f>
        <v/>
      </c>
      <c r="Q83" s="15" t="str">
        <f ca="1">IF('7. Demand &amp; Supply Forecast'!B90="","",P83+P83*'7. Demand &amp; Supply Forecast'!F90)</f>
        <v/>
      </c>
      <c r="R83" s="15" t="str">
        <f ca="1">IF($E83="","",MROUND(O83*'7. Demand &amp; Supply Forecast'!K90,1000))</f>
        <v/>
      </c>
      <c r="S83" s="15" t="str">
        <f ca="1">IF($E83="","",MROUND(P83*'7. Demand &amp; Supply Forecast'!L90,1000))</f>
        <v/>
      </c>
      <c r="T83" s="15" t="str">
        <f ca="1">IF($E83="","",MROUND(Q83*'7. Demand &amp; Supply Forecast'!M90,1000))</f>
        <v/>
      </c>
      <c r="U83" s="15" t="str">
        <f ca="1">IF(E83="","",'7. Demand &amp; Supply Forecast'!Q90-'7. Demand &amp; Supply Forecast'!K90)</f>
        <v/>
      </c>
      <c r="V83" s="15" t="str">
        <f ca="1">IF(E83="","",'7. Demand &amp; Supply Forecast'!R90-'7. Demand &amp; Supply Forecast'!L90)</f>
        <v/>
      </c>
      <c r="W83" s="15" t="str">
        <f ca="1">IF(E83="","",'7. Demand &amp; Supply Forecast'!S90-'7. Demand &amp; Supply Forecast'!M90)</f>
        <v/>
      </c>
    </row>
    <row r="84" spans="2:23" x14ac:dyDescent="0.2">
      <c r="B84" s="15" t="str">
        <f>IF('3. Setup &amp; Role Data'!G90="","",'3. Setup &amp; Role Data'!G90)</f>
        <v/>
      </c>
      <c r="C84" s="15" t="str">
        <f>IF('6. Role Evaluation'!H86="","No",'6. Role Evaluation'!H86)</f>
        <v>No</v>
      </c>
      <c r="D84" s="15" t="str">
        <f t="shared" si="1"/>
        <v/>
      </c>
      <c r="E84" s="15" t="str">
        <f t="array" aca="1" ref="E84" ca="1">IFERROR(INDEX(Include,SMALL((IF(LEN(Include),ROW(INDIRECT("1:"&amp;ROWS(Include))))),ROW(B82)),1),"")</f>
        <v/>
      </c>
      <c r="F84" s="15" t="str">
        <f ca="1">IF(E84="","",INDEX('3. Setup &amp; Role Data'!$G$9:$I$109,MATCH(E84,Role,0),2))</f>
        <v/>
      </c>
      <c r="G84" s="15" t="str">
        <f ca="1">IF(E84="","",INDEX('3. Setup &amp; Role Data'!$G$9:$I$109,MATCH(E84,Role,0),3))</f>
        <v/>
      </c>
      <c r="H84" s="15" t="str">
        <f ca="1">IF(E84="","",INDEX('6. Role Evaluation'!$B$5:$G$104,MATCH(E84,Role,0),2))</f>
        <v/>
      </c>
      <c r="I84" s="15" t="str">
        <f ca="1">IF(E84="","",INDEX('6. Role Evaluation'!$B$5:$G$104,MATCH(E84,Role,0),3))</f>
        <v/>
      </c>
      <c r="J84" s="15" t="str">
        <f ca="1">IF(E84="","",INDEX('6. Role Evaluation'!$B$5:$G$104,MATCH(E84,Role,0),4))</f>
        <v/>
      </c>
      <c r="K84" s="15" t="str">
        <f ca="1">IF(E84="","",INDEX('6. Role Evaluation'!$B$5:$G$104,MATCH(E84,Role,0),6))</f>
        <v/>
      </c>
      <c r="L84" s="15" t="str">
        <f ca="1">IF(K84='Hidden-Menus'!$E$3,1,IF(K84='Hidden-Menus'!$E$5,-1,IF(K84='Hidden-Menus'!$E$4,0,"")))</f>
        <v/>
      </c>
      <c r="M84" s="15" t="str">
        <f ca="1">IF(E84="","",INDEX('6. Role Evaluation'!$B$5:$G$104,MATCH(E84,Role,0),5))</f>
        <v/>
      </c>
      <c r="N84" s="15">
        <f ca="1">IF(M84='Hidden-Menus'!$F$3,1,IF(M84='Hidden-Menus'!$F$5,-1,0))</f>
        <v>0</v>
      </c>
      <c r="O84" s="15" t="str">
        <f ca="1">IF('7. Demand &amp; Supply Forecast'!B91="","",F84+F84*'7. Demand &amp; Supply Forecast'!F91)</f>
        <v/>
      </c>
      <c r="P84" s="15" t="str">
        <f ca="1">IF('7. Demand &amp; Supply Forecast'!B91="","",O84+O84*'7. Demand &amp; Supply Forecast'!F91)</f>
        <v/>
      </c>
      <c r="Q84" s="15" t="str">
        <f ca="1">IF('7. Demand &amp; Supply Forecast'!B91="","",P84+P84*'7. Demand &amp; Supply Forecast'!F91)</f>
        <v/>
      </c>
      <c r="R84" s="15" t="str">
        <f ca="1">IF($E84="","",MROUND(O84*'7. Demand &amp; Supply Forecast'!K91,1000))</f>
        <v/>
      </c>
      <c r="S84" s="15" t="str">
        <f ca="1">IF($E84="","",MROUND(P84*'7. Demand &amp; Supply Forecast'!L91,1000))</f>
        <v/>
      </c>
      <c r="T84" s="15" t="str">
        <f ca="1">IF($E84="","",MROUND(Q84*'7. Demand &amp; Supply Forecast'!M91,1000))</f>
        <v/>
      </c>
      <c r="U84" s="15" t="str">
        <f ca="1">IF(E84="","",'7. Demand &amp; Supply Forecast'!Q91-'7. Demand &amp; Supply Forecast'!K91)</f>
        <v/>
      </c>
      <c r="V84" s="15" t="str">
        <f ca="1">IF(E84="","",'7. Demand &amp; Supply Forecast'!R91-'7. Demand &amp; Supply Forecast'!L91)</f>
        <v/>
      </c>
      <c r="W84" s="15" t="str">
        <f ca="1">IF(E84="","",'7. Demand &amp; Supply Forecast'!S91-'7. Demand &amp; Supply Forecast'!M91)</f>
        <v/>
      </c>
    </row>
    <row r="85" spans="2:23" x14ac:dyDescent="0.2">
      <c r="B85" s="15" t="str">
        <f>IF('3. Setup &amp; Role Data'!G91="","",'3. Setup &amp; Role Data'!G91)</f>
        <v/>
      </c>
      <c r="C85" s="15" t="str">
        <f>IF('6. Role Evaluation'!H87="","No",'6. Role Evaluation'!H87)</f>
        <v>No</v>
      </c>
      <c r="D85" s="15" t="str">
        <f t="shared" si="1"/>
        <v/>
      </c>
      <c r="E85" s="15" t="str">
        <f t="array" aca="1" ref="E85" ca="1">IFERROR(INDEX(Include,SMALL((IF(LEN(Include),ROW(INDIRECT("1:"&amp;ROWS(Include))))),ROW(B83)),1),"")</f>
        <v/>
      </c>
      <c r="F85" s="15" t="str">
        <f ca="1">IF(E85="","",INDEX('3. Setup &amp; Role Data'!$G$9:$I$109,MATCH(E85,Role,0),2))</f>
        <v/>
      </c>
      <c r="G85" s="15" t="str">
        <f ca="1">IF(E85="","",INDEX('3. Setup &amp; Role Data'!$G$9:$I$109,MATCH(E85,Role,0),3))</f>
        <v/>
      </c>
      <c r="H85" s="15" t="str">
        <f ca="1">IF(E85="","",INDEX('6. Role Evaluation'!$B$5:$G$104,MATCH(E85,Role,0),2))</f>
        <v/>
      </c>
      <c r="I85" s="15" t="str">
        <f ca="1">IF(E85="","",INDEX('6. Role Evaluation'!$B$5:$G$104,MATCH(E85,Role,0),3))</f>
        <v/>
      </c>
      <c r="J85" s="15" t="str">
        <f ca="1">IF(E85="","",INDEX('6. Role Evaluation'!$B$5:$G$104,MATCH(E85,Role,0),4))</f>
        <v/>
      </c>
      <c r="K85" s="15" t="str">
        <f ca="1">IF(E85="","",INDEX('6. Role Evaluation'!$B$5:$G$104,MATCH(E85,Role,0),6))</f>
        <v/>
      </c>
      <c r="L85" s="15" t="str">
        <f ca="1">IF(K85='Hidden-Menus'!$E$3,1,IF(K85='Hidden-Menus'!$E$5,-1,IF(K85='Hidden-Menus'!$E$4,0,"")))</f>
        <v/>
      </c>
      <c r="M85" s="15" t="str">
        <f ca="1">IF(E85="","",INDEX('6. Role Evaluation'!$B$5:$G$104,MATCH(E85,Role,0),5))</f>
        <v/>
      </c>
      <c r="N85" s="15">
        <f ca="1">IF(M85='Hidden-Menus'!$F$3,1,IF(M85='Hidden-Menus'!$F$5,-1,0))</f>
        <v>0</v>
      </c>
      <c r="O85" s="15" t="str">
        <f ca="1">IF('7. Demand &amp; Supply Forecast'!B92="","",F85+F85*'7. Demand &amp; Supply Forecast'!F92)</f>
        <v/>
      </c>
      <c r="P85" s="15" t="str">
        <f ca="1">IF('7. Demand &amp; Supply Forecast'!B92="","",O85+O85*'7. Demand &amp; Supply Forecast'!F92)</f>
        <v/>
      </c>
      <c r="Q85" s="15" t="str">
        <f ca="1">IF('7. Demand &amp; Supply Forecast'!B92="","",P85+P85*'7. Demand &amp; Supply Forecast'!F92)</f>
        <v/>
      </c>
      <c r="R85" s="15" t="str">
        <f ca="1">IF($E85="","",MROUND(O85*'7. Demand &amp; Supply Forecast'!K92,1000))</f>
        <v/>
      </c>
      <c r="S85" s="15" t="str">
        <f ca="1">IF($E85="","",MROUND(P85*'7. Demand &amp; Supply Forecast'!L92,1000))</f>
        <v/>
      </c>
      <c r="T85" s="15" t="str">
        <f ca="1">IF($E85="","",MROUND(Q85*'7. Demand &amp; Supply Forecast'!M92,1000))</f>
        <v/>
      </c>
      <c r="U85" s="15" t="str">
        <f ca="1">IF(E85="","",'7. Demand &amp; Supply Forecast'!Q92-'7. Demand &amp; Supply Forecast'!K92)</f>
        <v/>
      </c>
      <c r="V85" s="15" t="str">
        <f ca="1">IF(E85="","",'7. Demand &amp; Supply Forecast'!R92-'7. Demand &amp; Supply Forecast'!L92)</f>
        <v/>
      </c>
      <c r="W85" s="15" t="str">
        <f ca="1">IF(E85="","",'7. Demand &amp; Supply Forecast'!S92-'7. Demand &amp; Supply Forecast'!M92)</f>
        <v/>
      </c>
    </row>
    <row r="86" spans="2:23" x14ac:dyDescent="0.2">
      <c r="B86" s="15" t="str">
        <f>IF('3. Setup &amp; Role Data'!G92="","",'3. Setup &amp; Role Data'!G92)</f>
        <v/>
      </c>
      <c r="C86" s="15" t="str">
        <f>IF('6. Role Evaluation'!H88="","No",'6. Role Evaluation'!H88)</f>
        <v>No</v>
      </c>
      <c r="D86" s="15" t="str">
        <f t="shared" si="1"/>
        <v/>
      </c>
      <c r="E86" s="15" t="str">
        <f t="array" aca="1" ref="E86" ca="1">IFERROR(INDEX(Include,SMALL((IF(LEN(Include),ROW(INDIRECT("1:"&amp;ROWS(Include))))),ROW(B84)),1),"")</f>
        <v/>
      </c>
      <c r="F86" s="15" t="str">
        <f ca="1">IF(E86="","",INDEX('3. Setup &amp; Role Data'!$G$9:$I$109,MATCH(E86,Role,0),2))</f>
        <v/>
      </c>
      <c r="G86" s="15" t="str">
        <f ca="1">IF(E86="","",INDEX('3. Setup &amp; Role Data'!$G$9:$I$109,MATCH(E86,Role,0),3))</f>
        <v/>
      </c>
      <c r="H86" s="15" t="str">
        <f ca="1">IF(E86="","",INDEX('6. Role Evaluation'!$B$5:$G$104,MATCH(E86,Role,0),2))</f>
        <v/>
      </c>
      <c r="I86" s="15" t="str">
        <f ca="1">IF(E86="","",INDEX('6. Role Evaluation'!$B$5:$G$104,MATCH(E86,Role,0),3))</f>
        <v/>
      </c>
      <c r="J86" s="15" t="str">
        <f ca="1">IF(E86="","",INDEX('6. Role Evaluation'!$B$5:$G$104,MATCH(E86,Role,0),4))</f>
        <v/>
      </c>
      <c r="K86" s="15" t="str">
        <f ca="1">IF(E86="","",INDEX('6. Role Evaluation'!$B$5:$G$104,MATCH(E86,Role,0),6))</f>
        <v/>
      </c>
      <c r="L86" s="15" t="str">
        <f ca="1">IF(K86='Hidden-Menus'!$E$3,1,IF(K86='Hidden-Menus'!$E$5,-1,IF(K86='Hidden-Menus'!$E$4,0,"")))</f>
        <v/>
      </c>
      <c r="M86" s="15" t="str">
        <f ca="1">IF(E86="","",INDEX('6. Role Evaluation'!$B$5:$G$104,MATCH(E86,Role,0),5))</f>
        <v/>
      </c>
      <c r="N86" s="15">
        <f ca="1">IF(M86='Hidden-Menus'!$F$3,1,IF(M86='Hidden-Menus'!$F$5,-1,0))</f>
        <v>0</v>
      </c>
      <c r="O86" s="15" t="str">
        <f ca="1">IF('7. Demand &amp; Supply Forecast'!B93="","",F86+F86*'7. Demand &amp; Supply Forecast'!F93)</f>
        <v/>
      </c>
      <c r="P86" s="15" t="str">
        <f ca="1">IF('7. Demand &amp; Supply Forecast'!B93="","",O86+O86*'7. Demand &amp; Supply Forecast'!F93)</f>
        <v/>
      </c>
      <c r="Q86" s="15" t="str">
        <f ca="1">IF('7. Demand &amp; Supply Forecast'!B93="","",P86+P86*'7. Demand &amp; Supply Forecast'!F93)</f>
        <v/>
      </c>
      <c r="R86" s="15" t="str">
        <f ca="1">IF($E86="","",MROUND(O86*'7. Demand &amp; Supply Forecast'!K93,1000))</f>
        <v/>
      </c>
      <c r="S86" s="15" t="str">
        <f ca="1">IF($E86="","",MROUND(P86*'7. Demand &amp; Supply Forecast'!L93,1000))</f>
        <v/>
      </c>
      <c r="T86" s="15" t="str">
        <f ca="1">IF($E86="","",MROUND(Q86*'7. Demand &amp; Supply Forecast'!M93,1000))</f>
        <v/>
      </c>
      <c r="U86" s="15" t="str">
        <f ca="1">IF(E86="","",'7. Demand &amp; Supply Forecast'!Q93-'7. Demand &amp; Supply Forecast'!K93)</f>
        <v/>
      </c>
      <c r="V86" s="15" t="str">
        <f ca="1">IF(E86="","",'7. Demand &amp; Supply Forecast'!R93-'7. Demand &amp; Supply Forecast'!L93)</f>
        <v/>
      </c>
      <c r="W86" s="15" t="str">
        <f ca="1">IF(E86="","",'7. Demand &amp; Supply Forecast'!S93-'7. Demand &amp; Supply Forecast'!M93)</f>
        <v/>
      </c>
    </row>
    <row r="87" spans="2:23" x14ac:dyDescent="0.2">
      <c r="B87" s="15" t="str">
        <f>IF('3. Setup &amp; Role Data'!G93="","",'3. Setup &amp; Role Data'!G93)</f>
        <v/>
      </c>
      <c r="C87" s="15" t="str">
        <f>IF('6. Role Evaluation'!H89="","No",'6. Role Evaluation'!H89)</f>
        <v>No</v>
      </c>
      <c r="D87" s="15" t="str">
        <f t="shared" si="1"/>
        <v/>
      </c>
      <c r="E87" s="15" t="str">
        <f t="array" aca="1" ref="E87" ca="1">IFERROR(INDEX(Include,SMALL((IF(LEN(Include),ROW(INDIRECT("1:"&amp;ROWS(Include))))),ROW(B85)),1),"")</f>
        <v/>
      </c>
      <c r="F87" s="15" t="str">
        <f ca="1">IF(E87="","",INDEX('3. Setup &amp; Role Data'!$G$9:$I$109,MATCH(E87,Role,0),2))</f>
        <v/>
      </c>
      <c r="G87" s="15" t="str">
        <f ca="1">IF(E87="","",INDEX('3. Setup &amp; Role Data'!$G$9:$I$109,MATCH(E87,Role,0),3))</f>
        <v/>
      </c>
      <c r="H87" s="15" t="str">
        <f ca="1">IF(E87="","",INDEX('6. Role Evaluation'!$B$5:$G$104,MATCH(E87,Role,0),2))</f>
        <v/>
      </c>
      <c r="I87" s="15" t="str">
        <f ca="1">IF(E87="","",INDEX('6. Role Evaluation'!$B$5:$G$104,MATCH(E87,Role,0),3))</f>
        <v/>
      </c>
      <c r="J87" s="15" t="str">
        <f ca="1">IF(E87="","",INDEX('6. Role Evaluation'!$B$5:$G$104,MATCH(E87,Role,0),4))</f>
        <v/>
      </c>
      <c r="K87" s="15" t="str">
        <f ca="1">IF(E87="","",INDEX('6. Role Evaluation'!$B$5:$G$104,MATCH(E87,Role,0),6))</f>
        <v/>
      </c>
      <c r="L87" s="15" t="str">
        <f ca="1">IF(K87='Hidden-Menus'!$E$3,1,IF(K87='Hidden-Menus'!$E$5,-1,IF(K87='Hidden-Menus'!$E$4,0,"")))</f>
        <v/>
      </c>
      <c r="M87" s="15" t="str">
        <f ca="1">IF(E87="","",INDEX('6. Role Evaluation'!$B$5:$G$104,MATCH(E87,Role,0),5))</f>
        <v/>
      </c>
      <c r="N87" s="15">
        <f ca="1">IF(M87='Hidden-Menus'!$F$3,1,IF(M87='Hidden-Menus'!$F$5,-1,0))</f>
        <v>0</v>
      </c>
      <c r="O87" s="15" t="str">
        <f ca="1">IF('7. Demand &amp; Supply Forecast'!B94="","",F87+F87*'7. Demand &amp; Supply Forecast'!F94)</f>
        <v/>
      </c>
      <c r="P87" s="15" t="str">
        <f ca="1">IF('7. Demand &amp; Supply Forecast'!B94="","",O87+O87*'7. Demand &amp; Supply Forecast'!F94)</f>
        <v/>
      </c>
      <c r="Q87" s="15" t="str">
        <f ca="1">IF('7. Demand &amp; Supply Forecast'!B94="","",P87+P87*'7. Demand &amp; Supply Forecast'!F94)</f>
        <v/>
      </c>
      <c r="R87" s="15" t="str">
        <f ca="1">IF($E87="","",MROUND(O87*'7. Demand &amp; Supply Forecast'!K94,1000))</f>
        <v/>
      </c>
      <c r="S87" s="15" t="str">
        <f ca="1">IF($E87="","",MROUND(P87*'7. Demand &amp; Supply Forecast'!L94,1000))</f>
        <v/>
      </c>
      <c r="T87" s="15" t="str">
        <f ca="1">IF($E87="","",MROUND(Q87*'7. Demand &amp; Supply Forecast'!M94,1000))</f>
        <v/>
      </c>
      <c r="U87" s="15" t="str">
        <f ca="1">IF(E87="","",'7. Demand &amp; Supply Forecast'!Q94-'7. Demand &amp; Supply Forecast'!K94)</f>
        <v/>
      </c>
      <c r="V87" s="15" t="str">
        <f ca="1">IF(E87="","",'7. Demand &amp; Supply Forecast'!R94-'7. Demand &amp; Supply Forecast'!L94)</f>
        <v/>
      </c>
      <c r="W87" s="15" t="str">
        <f ca="1">IF(E87="","",'7. Demand &amp; Supply Forecast'!S94-'7. Demand &amp; Supply Forecast'!M94)</f>
        <v/>
      </c>
    </row>
    <row r="88" spans="2:23" x14ac:dyDescent="0.2">
      <c r="B88" s="15" t="str">
        <f>IF('3. Setup &amp; Role Data'!G94="","",'3. Setup &amp; Role Data'!G94)</f>
        <v/>
      </c>
      <c r="C88" s="15" t="str">
        <f>IF('6. Role Evaluation'!H90="","No",'6. Role Evaluation'!H90)</f>
        <v>No</v>
      </c>
      <c r="D88" s="15" t="str">
        <f t="shared" si="1"/>
        <v/>
      </c>
      <c r="E88" s="15" t="str">
        <f t="array" aca="1" ref="E88" ca="1">IFERROR(INDEX(Include,SMALL((IF(LEN(Include),ROW(INDIRECT("1:"&amp;ROWS(Include))))),ROW(B86)),1),"")</f>
        <v/>
      </c>
      <c r="F88" s="15" t="str">
        <f ca="1">IF(E88="","",INDEX('3. Setup &amp; Role Data'!$G$9:$I$109,MATCH(E88,Role,0),2))</f>
        <v/>
      </c>
      <c r="G88" s="15" t="str">
        <f ca="1">IF(E88="","",INDEX('3. Setup &amp; Role Data'!$G$9:$I$109,MATCH(E88,Role,0),3))</f>
        <v/>
      </c>
      <c r="H88" s="15" t="str">
        <f ca="1">IF(E88="","",INDEX('6. Role Evaluation'!$B$5:$G$104,MATCH(E88,Role,0),2))</f>
        <v/>
      </c>
      <c r="I88" s="15" t="str">
        <f ca="1">IF(E88="","",INDEX('6. Role Evaluation'!$B$5:$G$104,MATCH(E88,Role,0),3))</f>
        <v/>
      </c>
      <c r="J88" s="15" t="str">
        <f ca="1">IF(E88="","",INDEX('6. Role Evaluation'!$B$5:$G$104,MATCH(E88,Role,0),4))</f>
        <v/>
      </c>
      <c r="K88" s="15" t="str">
        <f ca="1">IF(E88="","",INDEX('6. Role Evaluation'!$B$5:$G$104,MATCH(E88,Role,0),6))</f>
        <v/>
      </c>
      <c r="L88" s="15" t="str">
        <f ca="1">IF(K88='Hidden-Menus'!$E$3,1,IF(K88='Hidden-Menus'!$E$5,-1,IF(K88='Hidden-Menus'!$E$4,0,"")))</f>
        <v/>
      </c>
      <c r="M88" s="15" t="str">
        <f ca="1">IF(E88="","",INDEX('6. Role Evaluation'!$B$5:$G$104,MATCH(E88,Role,0),5))</f>
        <v/>
      </c>
      <c r="N88" s="15">
        <f ca="1">IF(M88='Hidden-Menus'!$F$3,1,IF(M88='Hidden-Menus'!$F$5,-1,0))</f>
        <v>0</v>
      </c>
      <c r="O88" s="15" t="str">
        <f ca="1">IF('7. Demand &amp; Supply Forecast'!B95="","",F88+F88*'7. Demand &amp; Supply Forecast'!F95)</f>
        <v/>
      </c>
      <c r="P88" s="15" t="str">
        <f ca="1">IF('7. Demand &amp; Supply Forecast'!B95="","",O88+O88*'7. Demand &amp; Supply Forecast'!F95)</f>
        <v/>
      </c>
      <c r="Q88" s="15" t="str">
        <f ca="1">IF('7. Demand &amp; Supply Forecast'!B95="","",P88+P88*'7. Demand &amp; Supply Forecast'!F95)</f>
        <v/>
      </c>
      <c r="R88" s="15" t="str">
        <f ca="1">IF($E88="","",MROUND(O88*'7. Demand &amp; Supply Forecast'!K95,1000))</f>
        <v/>
      </c>
      <c r="S88" s="15" t="str">
        <f ca="1">IF($E88="","",MROUND(P88*'7. Demand &amp; Supply Forecast'!L95,1000))</f>
        <v/>
      </c>
      <c r="T88" s="15" t="str">
        <f ca="1">IF($E88="","",MROUND(Q88*'7. Demand &amp; Supply Forecast'!M95,1000))</f>
        <v/>
      </c>
      <c r="U88" s="15" t="str">
        <f ca="1">IF(E88="","",'7. Demand &amp; Supply Forecast'!Q95-'7. Demand &amp; Supply Forecast'!K95)</f>
        <v/>
      </c>
      <c r="V88" s="15" t="str">
        <f ca="1">IF(E88="","",'7. Demand &amp; Supply Forecast'!R95-'7. Demand &amp; Supply Forecast'!L95)</f>
        <v/>
      </c>
      <c r="W88" s="15" t="str">
        <f ca="1">IF(E88="","",'7. Demand &amp; Supply Forecast'!S95-'7. Demand &amp; Supply Forecast'!M95)</f>
        <v/>
      </c>
    </row>
    <row r="89" spans="2:23" x14ac:dyDescent="0.2">
      <c r="B89" s="15" t="str">
        <f>IF('3. Setup &amp; Role Data'!G95="","",'3. Setup &amp; Role Data'!G95)</f>
        <v/>
      </c>
      <c r="C89" s="15" t="str">
        <f>IF('6. Role Evaluation'!H91="","No",'6. Role Evaluation'!H91)</f>
        <v>No</v>
      </c>
      <c r="D89" s="15" t="str">
        <f t="shared" si="1"/>
        <v/>
      </c>
      <c r="E89" s="15" t="str">
        <f t="array" aca="1" ref="E89" ca="1">IFERROR(INDEX(Include,SMALL((IF(LEN(Include),ROW(INDIRECT("1:"&amp;ROWS(Include))))),ROW(B87)),1),"")</f>
        <v/>
      </c>
      <c r="F89" s="15" t="str">
        <f ca="1">IF(E89="","",INDEX('3. Setup &amp; Role Data'!$G$9:$I$109,MATCH(E89,Role,0),2))</f>
        <v/>
      </c>
      <c r="G89" s="15" t="str">
        <f ca="1">IF(E89="","",INDEX('3. Setup &amp; Role Data'!$G$9:$I$109,MATCH(E89,Role,0),3))</f>
        <v/>
      </c>
      <c r="H89" s="15" t="str">
        <f ca="1">IF(E89="","",INDEX('6. Role Evaluation'!$B$5:$G$104,MATCH(E89,Role,0),2))</f>
        <v/>
      </c>
      <c r="I89" s="15" t="str">
        <f ca="1">IF(E89="","",INDEX('6. Role Evaluation'!$B$5:$G$104,MATCH(E89,Role,0),3))</f>
        <v/>
      </c>
      <c r="J89" s="15" t="str">
        <f ca="1">IF(E89="","",INDEX('6. Role Evaluation'!$B$5:$G$104,MATCH(E89,Role,0),4))</f>
        <v/>
      </c>
      <c r="K89" s="15" t="str">
        <f ca="1">IF(E89="","",INDEX('6. Role Evaluation'!$B$5:$G$104,MATCH(E89,Role,0),6))</f>
        <v/>
      </c>
      <c r="L89" s="15" t="str">
        <f ca="1">IF(K89='Hidden-Menus'!$E$3,1,IF(K89='Hidden-Menus'!$E$5,-1,IF(K89='Hidden-Menus'!$E$4,0,"")))</f>
        <v/>
      </c>
      <c r="M89" s="15" t="str">
        <f ca="1">IF(E89="","",INDEX('6. Role Evaluation'!$B$5:$G$104,MATCH(E89,Role,0),5))</f>
        <v/>
      </c>
      <c r="N89" s="15">
        <f ca="1">IF(M89='Hidden-Menus'!$F$3,1,IF(M89='Hidden-Menus'!$F$5,-1,0))</f>
        <v>0</v>
      </c>
      <c r="O89" s="15" t="str">
        <f ca="1">IF('7. Demand &amp; Supply Forecast'!B96="","",F89+F89*'7. Demand &amp; Supply Forecast'!F96)</f>
        <v/>
      </c>
      <c r="P89" s="15" t="str">
        <f ca="1">IF('7. Demand &amp; Supply Forecast'!B96="","",O89+O89*'7. Demand &amp; Supply Forecast'!F96)</f>
        <v/>
      </c>
      <c r="Q89" s="15" t="str">
        <f ca="1">IF('7. Demand &amp; Supply Forecast'!B96="","",P89+P89*'7. Demand &amp; Supply Forecast'!F96)</f>
        <v/>
      </c>
      <c r="R89" s="15" t="str">
        <f ca="1">IF($E89="","",MROUND(O89*'7. Demand &amp; Supply Forecast'!K96,1000))</f>
        <v/>
      </c>
      <c r="S89" s="15" t="str">
        <f ca="1">IF($E89="","",MROUND(P89*'7. Demand &amp; Supply Forecast'!L96,1000))</f>
        <v/>
      </c>
      <c r="T89" s="15" t="str">
        <f ca="1">IF($E89="","",MROUND(Q89*'7. Demand &amp; Supply Forecast'!M96,1000))</f>
        <v/>
      </c>
      <c r="U89" s="15" t="str">
        <f ca="1">IF(E89="","",'7. Demand &amp; Supply Forecast'!Q96-'7. Demand &amp; Supply Forecast'!K96)</f>
        <v/>
      </c>
      <c r="V89" s="15" t="str">
        <f ca="1">IF(E89="","",'7. Demand &amp; Supply Forecast'!R96-'7. Demand &amp; Supply Forecast'!L96)</f>
        <v/>
      </c>
      <c r="W89" s="15" t="str">
        <f ca="1">IF(E89="","",'7. Demand &amp; Supply Forecast'!S96-'7. Demand &amp; Supply Forecast'!M96)</f>
        <v/>
      </c>
    </row>
    <row r="90" spans="2:23" x14ac:dyDescent="0.2">
      <c r="B90" s="15" t="str">
        <f>IF('3. Setup &amp; Role Data'!G96="","",'3. Setup &amp; Role Data'!G96)</f>
        <v/>
      </c>
      <c r="C90" s="15" t="str">
        <f>IF('6. Role Evaluation'!H92="","No",'6. Role Evaluation'!H92)</f>
        <v>No</v>
      </c>
      <c r="D90" s="15" t="str">
        <f t="shared" si="1"/>
        <v/>
      </c>
      <c r="E90" s="15" t="str">
        <f t="array" aca="1" ref="E90" ca="1">IFERROR(INDEX(Include,SMALL((IF(LEN(Include),ROW(INDIRECT("1:"&amp;ROWS(Include))))),ROW(B88)),1),"")</f>
        <v/>
      </c>
      <c r="F90" s="15" t="str">
        <f ca="1">IF(E90="","",INDEX('3. Setup &amp; Role Data'!$G$9:$I$109,MATCH(E90,Role,0),2))</f>
        <v/>
      </c>
      <c r="G90" s="15" t="str">
        <f ca="1">IF(E90="","",INDEX('3. Setup &amp; Role Data'!$G$9:$I$109,MATCH(E90,Role,0),3))</f>
        <v/>
      </c>
      <c r="H90" s="15" t="str">
        <f ca="1">IF(E90="","",INDEX('6. Role Evaluation'!$B$5:$G$104,MATCH(E90,Role,0),2))</f>
        <v/>
      </c>
      <c r="I90" s="15" t="str">
        <f ca="1">IF(E90="","",INDEX('6. Role Evaluation'!$B$5:$G$104,MATCH(E90,Role,0),3))</f>
        <v/>
      </c>
      <c r="J90" s="15" t="str">
        <f ca="1">IF(E90="","",INDEX('6. Role Evaluation'!$B$5:$G$104,MATCH(E90,Role,0),4))</f>
        <v/>
      </c>
      <c r="K90" s="15" t="str">
        <f ca="1">IF(E90="","",INDEX('6. Role Evaluation'!$B$5:$G$104,MATCH(E90,Role,0),6))</f>
        <v/>
      </c>
      <c r="L90" s="15" t="str">
        <f ca="1">IF(K90='Hidden-Menus'!$E$3,1,IF(K90='Hidden-Menus'!$E$5,-1,IF(K90='Hidden-Menus'!$E$4,0,"")))</f>
        <v/>
      </c>
      <c r="M90" s="15" t="str">
        <f ca="1">IF(E90="","",INDEX('6. Role Evaluation'!$B$5:$G$104,MATCH(E90,Role,0),5))</f>
        <v/>
      </c>
      <c r="N90" s="15">
        <f ca="1">IF(M90='Hidden-Menus'!$F$3,1,IF(M90='Hidden-Menus'!$F$5,-1,0))</f>
        <v>0</v>
      </c>
      <c r="O90" s="15" t="str">
        <f ca="1">IF('7. Demand &amp; Supply Forecast'!B97="","",F90+F90*'7. Demand &amp; Supply Forecast'!F97)</f>
        <v/>
      </c>
      <c r="P90" s="15" t="str">
        <f ca="1">IF('7. Demand &amp; Supply Forecast'!B97="","",O90+O90*'7. Demand &amp; Supply Forecast'!F97)</f>
        <v/>
      </c>
      <c r="Q90" s="15" t="str">
        <f ca="1">IF('7. Demand &amp; Supply Forecast'!B97="","",P90+P90*'7. Demand &amp; Supply Forecast'!F97)</f>
        <v/>
      </c>
      <c r="R90" s="15" t="str">
        <f ca="1">IF($E90="","",MROUND(O90*'7. Demand &amp; Supply Forecast'!K97,1000))</f>
        <v/>
      </c>
      <c r="S90" s="15" t="str">
        <f ca="1">IF($E90="","",MROUND(P90*'7. Demand &amp; Supply Forecast'!L97,1000))</f>
        <v/>
      </c>
      <c r="T90" s="15" t="str">
        <f ca="1">IF($E90="","",MROUND(Q90*'7. Demand &amp; Supply Forecast'!M97,1000))</f>
        <v/>
      </c>
      <c r="U90" s="15" t="str">
        <f ca="1">IF(E90="","",'7. Demand &amp; Supply Forecast'!Q97-'7. Demand &amp; Supply Forecast'!K97)</f>
        <v/>
      </c>
      <c r="V90" s="15" t="str">
        <f ca="1">IF(E90="","",'7. Demand &amp; Supply Forecast'!R97-'7. Demand &amp; Supply Forecast'!L97)</f>
        <v/>
      </c>
      <c r="W90" s="15" t="str">
        <f ca="1">IF(E90="","",'7. Demand &amp; Supply Forecast'!S97-'7. Demand &amp; Supply Forecast'!M97)</f>
        <v/>
      </c>
    </row>
    <row r="91" spans="2:23" x14ac:dyDescent="0.2">
      <c r="B91" s="15" t="str">
        <f>IF('3. Setup &amp; Role Data'!G97="","",'3. Setup &amp; Role Data'!G97)</f>
        <v/>
      </c>
      <c r="C91" s="15" t="str">
        <f>IF('6. Role Evaluation'!H93="","No",'6. Role Evaluation'!H93)</f>
        <v>No</v>
      </c>
      <c r="D91" s="15" t="str">
        <f t="shared" si="1"/>
        <v/>
      </c>
      <c r="E91" s="15" t="str">
        <f t="array" aca="1" ref="E91" ca="1">IFERROR(INDEX(Include,SMALL((IF(LEN(Include),ROW(INDIRECT("1:"&amp;ROWS(Include))))),ROW(B89)),1),"")</f>
        <v/>
      </c>
      <c r="F91" s="15" t="str">
        <f ca="1">IF(E91="","",INDEX('3. Setup &amp; Role Data'!$G$9:$I$109,MATCH(E91,Role,0),2))</f>
        <v/>
      </c>
      <c r="G91" s="15" t="str">
        <f ca="1">IF(E91="","",INDEX('3. Setup &amp; Role Data'!$G$9:$I$109,MATCH(E91,Role,0),3))</f>
        <v/>
      </c>
      <c r="H91" s="15" t="str">
        <f ca="1">IF(E91="","",INDEX('6. Role Evaluation'!$B$5:$G$104,MATCH(E91,Role,0),2))</f>
        <v/>
      </c>
      <c r="I91" s="15" t="str">
        <f ca="1">IF(E91="","",INDEX('6. Role Evaluation'!$B$5:$G$104,MATCH(E91,Role,0),3))</f>
        <v/>
      </c>
      <c r="J91" s="15" t="str">
        <f ca="1">IF(E91="","",INDEX('6. Role Evaluation'!$B$5:$G$104,MATCH(E91,Role,0),4))</f>
        <v/>
      </c>
      <c r="K91" s="15" t="str">
        <f ca="1">IF(E91="","",INDEX('6. Role Evaluation'!$B$5:$G$104,MATCH(E91,Role,0),6))</f>
        <v/>
      </c>
      <c r="L91" s="15" t="str">
        <f ca="1">IF(K91='Hidden-Menus'!$E$3,1,IF(K91='Hidden-Menus'!$E$5,-1,IF(K91='Hidden-Menus'!$E$4,0,"")))</f>
        <v/>
      </c>
      <c r="M91" s="15" t="str">
        <f ca="1">IF(E91="","",INDEX('6. Role Evaluation'!$B$5:$G$104,MATCH(E91,Role,0),5))</f>
        <v/>
      </c>
      <c r="N91" s="15">
        <f ca="1">IF(M91='Hidden-Menus'!$F$3,1,IF(M91='Hidden-Menus'!$F$5,-1,0))</f>
        <v>0</v>
      </c>
      <c r="O91" s="15" t="str">
        <f ca="1">IF('7. Demand &amp; Supply Forecast'!B98="","",F91+F91*'7. Demand &amp; Supply Forecast'!F98)</f>
        <v/>
      </c>
      <c r="P91" s="15" t="str">
        <f ca="1">IF('7. Demand &amp; Supply Forecast'!B98="","",O91+O91*'7. Demand &amp; Supply Forecast'!F98)</f>
        <v/>
      </c>
      <c r="Q91" s="15" t="str">
        <f ca="1">IF('7. Demand &amp; Supply Forecast'!B98="","",P91+P91*'7. Demand &amp; Supply Forecast'!F98)</f>
        <v/>
      </c>
      <c r="R91" s="15" t="str">
        <f ca="1">IF($E91="","",MROUND(O91*'7. Demand &amp; Supply Forecast'!K98,1000))</f>
        <v/>
      </c>
      <c r="S91" s="15" t="str">
        <f ca="1">IF($E91="","",MROUND(P91*'7. Demand &amp; Supply Forecast'!L98,1000))</f>
        <v/>
      </c>
      <c r="T91" s="15" t="str">
        <f ca="1">IF($E91="","",MROUND(Q91*'7. Demand &amp; Supply Forecast'!M98,1000))</f>
        <v/>
      </c>
      <c r="U91" s="15" t="str">
        <f ca="1">IF(E91="","",'7. Demand &amp; Supply Forecast'!Q98-'7. Demand &amp; Supply Forecast'!K98)</f>
        <v/>
      </c>
      <c r="V91" s="15" t="str">
        <f ca="1">IF(E91="","",'7. Demand &amp; Supply Forecast'!R98-'7. Demand &amp; Supply Forecast'!L98)</f>
        <v/>
      </c>
      <c r="W91" s="15" t="str">
        <f ca="1">IF(E91="","",'7. Demand &amp; Supply Forecast'!S98-'7. Demand &amp; Supply Forecast'!M98)</f>
        <v/>
      </c>
    </row>
    <row r="92" spans="2:23" x14ac:dyDescent="0.2">
      <c r="B92" s="15" t="str">
        <f>IF('3. Setup &amp; Role Data'!G98="","",'3. Setup &amp; Role Data'!G98)</f>
        <v/>
      </c>
      <c r="C92" s="15" t="str">
        <f>IF('6. Role Evaluation'!H94="","No",'6. Role Evaluation'!H94)</f>
        <v>No</v>
      </c>
      <c r="D92" s="15" t="str">
        <f t="shared" si="1"/>
        <v/>
      </c>
      <c r="E92" s="15" t="str">
        <f t="array" aca="1" ref="E92" ca="1">IFERROR(INDEX(Include,SMALL((IF(LEN(Include),ROW(INDIRECT("1:"&amp;ROWS(Include))))),ROW(B90)),1),"")</f>
        <v/>
      </c>
      <c r="F92" s="15" t="str">
        <f ca="1">IF(E92="","",INDEX('3. Setup &amp; Role Data'!$G$9:$I$109,MATCH(E92,Role,0),2))</f>
        <v/>
      </c>
      <c r="G92" s="15" t="str">
        <f ca="1">IF(E92="","",INDEX('3. Setup &amp; Role Data'!$G$9:$I$109,MATCH(E92,Role,0),3))</f>
        <v/>
      </c>
      <c r="H92" s="15" t="str">
        <f ca="1">IF(E92="","",INDEX('6. Role Evaluation'!$B$5:$G$104,MATCH(E92,Role,0),2))</f>
        <v/>
      </c>
      <c r="I92" s="15" t="str">
        <f ca="1">IF(E92="","",INDEX('6. Role Evaluation'!$B$5:$G$104,MATCH(E92,Role,0),3))</f>
        <v/>
      </c>
      <c r="J92" s="15" t="str">
        <f ca="1">IF(E92="","",INDEX('6. Role Evaluation'!$B$5:$G$104,MATCH(E92,Role,0),4))</f>
        <v/>
      </c>
      <c r="K92" s="15" t="str">
        <f ca="1">IF(E92="","",INDEX('6. Role Evaluation'!$B$5:$G$104,MATCH(E92,Role,0),6))</f>
        <v/>
      </c>
      <c r="L92" s="15" t="str">
        <f ca="1">IF(K92='Hidden-Menus'!$E$3,1,IF(K92='Hidden-Menus'!$E$5,-1,IF(K92='Hidden-Menus'!$E$4,0,"")))</f>
        <v/>
      </c>
      <c r="M92" s="15" t="str">
        <f ca="1">IF(E92="","",INDEX('6. Role Evaluation'!$B$5:$G$104,MATCH(E92,Role,0),5))</f>
        <v/>
      </c>
      <c r="N92" s="15">
        <f ca="1">IF(M92='Hidden-Menus'!$F$3,1,IF(M92='Hidden-Menus'!$F$5,-1,0))</f>
        <v>0</v>
      </c>
      <c r="O92" s="15" t="str">
        <f ca="1">IF('7. Demand &amp; Supply Forecast'!B99="","",F92+F92*'7. Demand &amp; Supply Forecast'!F99)</f>
        <v/>
      </c>
      <c r="P92" s="15" t="str">
        <f ca="1">IF('7. Demand &amp; Supply Forecast'!B99="","",O92+O92*'7. Demand &amp; Supply Forecast'!F99)</f>
        <v/>
      </c>
      <c r="Q92" s="15" t="str">
        <f ca="1">IF('7. Demand &amp; Supply Forecast'!B99="","",P92+P92*'7. Demand &amp; Supply Forecast'!F99)</f>
        <v/>
      </c>
      <c r="R92" s="15" t="str">
        <f ca="1">IF($E92="","",MROUND(O92*'7. Demand &amp; Supply Forecast'!K99,1000))</f>
        <v/>
      </c>
      <c r="S92" s="15" t="str">
        <f ca="1">IF($E92="","",MROUND(P92*'7. Demand &amp; Supply Forecast'!L99,1000))</f>
        <v/>
      </c>
      <c r="T92" s="15" t="str">
        <f ca="1">IF($E92="","",MROUND(Q92*'7. Demand &amp; Supply Forecast'!M99,1000))</f>
        <v/>
      </c>
      <c r="U92" s="15" t="str">
        <f ca="1">IF(E92="","",'7. Demand &amp; Supply Forecast'!Q99-'7. Demand &amp; Supply Forecast'!K99)</f>
        <v/>
      </c>
      <c r="V92" s="15" t="str">
        <f ca="1">IF(E92="","",'7. Demand &amp; Supply Forecast'!R99-'7. Demand &amp; Supply Forecast'!L99)</f>
        <v/>
      </c>
      <c r="W92" s="15" t="str">
        <f ca="1">IF(E92="","",'7. Demand &amp; Supply Forecast'!S99-'7. Demand &amp; Supply Forecast'!M99)</f>
        <v/>
      </c>
    </row>
    <row r="93" spans="2:23" x14ac:dyDescent="0.2">
      <c r="B93" s="15" t="str">
        <f>IF('3. Setup &amp; Role Data'!G99="","",'3. Setup &amp; Role Data'!G99)</f>
        <v/>
      </c>
      <c r="C93" s="15" t="str">
        <f>IF('6. Role Evaluation'!H95="","No",'6. Role Evaluation'!H95)</f>
        <v>No</v>
      </c>
      <c r="D93" s="15" t="str">
        <f t="shared" si="1"/>
        <v/>
      </c>
      <c r="E93" s="15" t="str">
        <f t="array" aca="1" ref="E93" ca="1">IFERROR(INDEX(Include,SMALL((IF(LEN(Include),ROW(INDIRECT("1:"&amp;ROWS(Include))))),ROW(B91)),1),"")</f>
        <v/>
      </c>
      <c r="F93" s="15" t="str">
        <f ca="1">IF(E93="","",INDEX('3. Setup &amp; Role Data'!$G$9:$I$109,MATCH(E93,Role,0),2))</f>
        <v/>
      </c>
      <c r="G93" s="15" t="str">
        <f ca="1">IF(E93="","",INDEX('3. Setup &amp; Role Data'!$G$9:$I$109,MATCH(E93,Role,0),3))</f>
        <v/>
      </c>
      <c r="H93" s="15" t="str">
        <f ca="1">IF(E93="","",INDEX('6. Role Evaluation'!$B$5:$G$104,MATCH(E93,Role,0),2))</f>
        <v/>
      </c>
      <c r="I93" s="15" t="str">
        <f ca="1">IF(E93="","",INDEX('6. Role Evaluation'!$B$5:$G$104,MATCH(E93,Role,0),3))</f>
        <v/>
      </c>
      <c r="J93" s="15" t="str">
        <f ca="1">IF(E93="","",INDEX('6. Role Evaluation'!$B$5:$G$104,MATCH(E93,Role,0),4))</f>
        <v/>
      </c>
      <c r="K93" s="15" t="str">
        <f ca="1">IF(E93="","",INDEX('6. Role Evaluation'!$B$5:$G$104,MATCH(E93,Role,0),6))</f>
        <v/>
      </c>
      <c r="L93" s="15" t="str">
        <f ca="1">IF(K93='Hidden-Menus'!$E$3,1,IF(K93='Hidden-Menus'!$E$5,-1,IF(K93='Hidden-Menus'!$E$4,0,"")))</f>
        <v/>
      </c>
      <c r="M93" s="15" t="str">
        <f ca="1">IF(E93="","",INDEX('6. Role Evaluation'!$B$5:$G$104,MATCH(E93,Role,0),5))</f>
        <v/>
      </c>
      <c r="N93" s="15">
        <f ca="1">IF(M93='Hidden-Menus'!$F$3,1,IF(M93='Hidden-Menus'!$F$5,-1,0))</f>
        <v>0</v>
      </c>
      <c r="O93" s="15" t="str">
        <f ca="1">IF('7. Demand &amp; Supply Forecast'!B100="","",F93+F93*'7. Demand &amp; Supply Forecast'!F100)</f>
        <v/>
      </c>
      <c r="P93" s="15" t="str">
        <f ca="1">IF('7. Demand &amp; Supply Forecast'!B100="","",O93+O93*'7. Demand &amp; Supply Forecast'!F100)</f>
        <v/>
      </c>
      <c r="Q93" s="15" t="str">
        <f ca="1">IF('7. Demand &amp; Supply Forecast'!B100="","",P93+P93*'7. Demand &amp; Supply Forecast'!F100)</f>
        <v/>
      </c>
      <c r="R93" s="15" t="str">
        <f ca="1">IF($E93="","",MROUND(O93*'7. Demand &amp; Supply Forecast'!K100,1000))</f>
        <v/>
      </c>
      <c r="S93" s="15" t="str">
        <f ca="1">IF($E93="","",MROUND(P93*'7. Demand &amp; Supply Forecast'!L100,1000))</f>
        <v/>
      </c>
      <c r="T93" s="15" t="str">
        <f ca="1">IF($E93="","",MROUND(Q93*'7. Demand &amp; Supply Forecast'!M100,1000))</f>
        <v/>
      </c>
      <c r="U93" s="15" t="str">
        <f ca="1">IF(E93="","",'7. Demand &amp; Supply Forecast'!Q100-'7. Demand &amp; Supply Forecast'!K100)</f>
        <v/>
      </c>
      <c r="V93" s="15" t="str">
        <f ca="1">IF(E93="","",'7. Demand &amp; Supply Forecast'!R100-'7. Demand &amp; Supply Forecast'!L100)</f>
        <v/>
      </c>
      <c r="W93" s="15" t="str">
        <f ca="1">IF(E93="","",'7. Demand &amp; Supply Forecast'!S100-'7. Demand &amp; Supply Forecast'!M100)</f>
        <v/>
      </c>
    </row>
    <row r="94" spans="2:23" x14ac:dyDescent="0.2">
      <c r="B94" s="15" t="str">
        <f>IF('3. Setup &amp; Role Data'!G100="","",'3. Setup &amp; Role Data'!G100)</f>
        <v/>
      </c>
      <c r="C94" s="15" t="str">
        <f>IF('6. Role Evaluation'!H96="","No",'6. Role Evaluation'!H96)</f>
        <v>No</v>
      </c>
      <c r="D94" s="15" t="str">
        <f t="shared" si="1"/>
        <v/>
      </c>
      <c r="E94" s="15" t="str">
        <f t="array" aca="1" ref="E94" ca="1">IFERROR(INDEX(Include,SMALL((IF(LEN(Include),ROW(INDIRECT("1:"&amp;ROWS(Include))))),ROW(B92)),1),"")</f>
        <v/>
      </c>
      <c r="F94" s="15" t="str">
        <f ca="1">IF(E94="","",INDEX('3. Setup &amp; Role Data'!$G$9:$I$109,MATCH(E94,Role,0),2))</f>
        <v/>
      </c>
      <c r="G94" s="15" t="str">
        <f ca="1">IF(E94="","",INDEX('3. Setup &amp; Role Data'!$G$9:$I$109,MATCH(E94,Role,0),3))</f>
        <v/>
      </c>
      <c r="H94" s="15" t="str">
        <f ca="1">IF(E94="","",INDEX('6. Role Evaluation'!$B$5:$G$104,MATCH(E94,Role,0),2))</f>
        <v/>
      </c>
      <c r="I94" s="15" t="str">
        <f ca="1">IF(E94="","",INDEX('6. Role Evaluation'!$B$5:$G$104,MATCH(E94,Role,0),3))</f>
        <v/>
      </c>
      <c r="J94" s="15" t="str">
        <f ca="1">IF(E94="","",INDEX('6. Role Evaluation'!$B$5:$G$104,MATCH(E94,Role,0),4))</f>
        <v/>
      </c>
      <c r="K94" s="15" t="str">
        <f ca="1">IF(E94="","",INDEX('6. Role Evaluation'!$B$5:$G$104,MATCH(E94,Role,0),6))</f>
        <v/>
      </c>
      <c r="L94" s="15" t="str">
        <f ca="1">IF(K94='Hidden-Menus'!$E$3,1,IF(K94='Hidden-Menus'!$E$5,-1,IF(K94='Hidden-Menus'!$E$4,0,"")))</f>
        <v/>
      </c>
      <c r="M94" s="15" t="str">
        <f ca="1">IF(E94="","",INDEX('6. Role Evaluation'!$B$5:$G$104,MATCH(E94,Role,0),5))</f>
        <v/>
      </c>
      <c r="N94" s="15">
        <f ca="1">IF(M94='Hidden-Menus'!$F$3,1,IF(M94='Hidden-Menus'!$F$5,-1,0))</f>
        <v>0</v>
      </c>
      <c r="O94" s="15" t="str">
        <f ca="1">IF('7. Demand &amp; Supply Forecast'!B101="","",F94+F94*'7. Demand &amp; Supply Forecast'!F101)</f>
        <v/>
      </c>
      <c r="P94" s="15" t="str">
        <f ca="1">IF('7. Demand &amp; Supply Forecast'!B101="","",O94+O94*'7. Demand &amp; Supply Forecast'!F101)</f>
        <v/>
      </c>
      <c r="Q94" s="15" t="str">
        <f ca="1">IF('7. Demand &amp; Supply Forecast'!B101="","",P94+P94*'7. Demand &amp; Supply Forecast'!F101)</f>
        <v/>
      </c>
      <c r="R94" s="15" t="str">
        <f ca="1">IF($E94="","",MROUND(O94*'7. Demand &amp; Supply Forecast'!K101,1000))</f>
        <v/>
      </c>
      <c r="S94" s="15" t="str">
        <f ca="1">IF($E94="","",MROUND(P94*'7. Demand &amp; Supply Forecast'!L101,1000))</f>
        <v/>
      </c>
      <c r="T94" s="15" t="str">
        <f ca="1">IF($E94="","",MROUND(Q94*'7. Demand &amp; Supply Forecast'!M101,1000))</f>
        <v/>
      </c>
      <c r="U94" s="15" t="str">
        <f ca="1">IF(E94="","",'7. Demand &amp; Supply Forecast'!Q101-'7. Demand &amp; Supply Forecast'!K101)</f>
        <v/>
      </c>
      <c r="V94" s="15" t="str">
        <f ca="1">IF(E94="","",'7. Demand &amp; Supply Forecast'!R101-'7. Demand &amp; Supply Forecast'!L101)</f>
        <v/>
      </c>
      <c r="W94" s="15" t="str">
        <f ca="1">IF(E94="","",'7. Demand &amp; Supply Forecast'!S101-'7. Demand &amp; Supply Forecast'!M101)</f>
        <v/>
      </c>
    </row>
    <row r="95" spans="2:23" x14ac:dyDescent="0.2">
      <c r="B95" s="15" t="str">
        <f>IF('3. Setup &amp; Role Data'!G101="","",'3. Setup &amp; Role Data'!G101)</f>
        <v/>
      </c>
      <c r="C95" s="15" t="str">
        <f>IF('6. Role Evaluation'!H97="","No",'6. Role Evaluation'!H97)</f>
        <v>No</v>
      </c>
      <c r="D95" s="15" t="str">
        <f t="shared" si="1"/>
        <v/>
      </c>
      <c r="E95" s="15" t="str">
        <f t="array" aca="1" ref="E95" ca="1">IFERROR(INDEX(Include,SMALL((IF(LEN(Include),ROW(INDIRECT("1:"&amp;ROWS(Include))))),ROW(B93)),1),"")</f>
        <v/>
      </c>
      <c r="F95" s="15" t="str">
        <f ca="1">IF(E95="","",INDEX('3. Setup &amp; Role Data'!$G$9:$I$109,MATCH(E95,Role,0),2))</f>
        <v/>
      </c>
      <c r="G95" s="15" t="str">
        <f ca="1">IF(E95="","",INDEX('3. Setup &amp; Role Data'!$G$9:$I$109,MATCH(E95,Role,0),3))</f>
        <v/>
      </c>
      <c r="H95" s="15" t="str">
        <f ca="1">IF(E95="","",INDEX('6. Role Evaluation'!$B$5:$G$104,MATCH(E95,Role,0),2))</f>
        <v/>
      </c>
      <c r="I95" s="15" t="str">
        <f ca="1">IF(E95="","",INDEX('6. Role Evaluation'!$B$5:$G$104,MATCH(E95,Role,0),3))</f>
        <v/>
      </c>
      <c r="J95" s="15" t="str">
        <f ca="1">IF(E95="","",INDEX('6. Role Evaluation'!$B$5:$G$104,MATCH(E95,Role,0),4))</f>
        <v/>
      </c>
      <c r="K95" s="15" t="str">
        <f ca="1">IF(E95="","",INDEX('6. Role Evaluation'!$B$5:$G$104,MATCH(E95,Role,0),6))</f>
        <v/>
      </c>
      <c r="L95" s="15" t="str">
        <f ca="1">IF(K95='Hidden-Menus'!$E$3,1,IF(K95='Hidden-Menus'!$E$5,-1,IF(K95='Hidden-Menus'!$E$4,0,"")))</f>
        <v/>
      </c>
      <c r="M95" s="15" t="str">
        <f ca="1">IF(E95="","",INDEX('6. Role Evaluation'!$B$5:$G$104,MATCH(E95,Role,0),5))</f>
        <v/>
      </c>
      <c r="N95" s="15">
        <f ca="1">IF(M95='Hidden-Menus'!$F$3,1,IF(M95='Hidden-Menus'!$F$5,-1,0))</f>
        <v>0</v>
      </c>
      <c r="O95" s="15" t="str">
        <f ca="1">IF('7. Demand &amp; Supply Forecast'!B102="","",F95+F95*'7. Demand &amp; Supply Forecast'!F102)</f>
        <v/>
      </c>
      <c r="P95" s="15" t="str">
        <f ca="1">IF('7. Demand &amp; Supply Forecast'!B102="","",O95+O95*'7. Demand &amp; Supply Forecast'!F102)</f>
        <v/>
      </c>
      <c r="Q95" s="15" t="str">
        <f ca="1">IF('7. Demand &amp; Supply Forecast'!B102="","",P95+P95*'7. Demand &amp; Supply Forecast'!F102)</f>
        <v/>
      </c>
      <c r="R95" s="15" t="str">
        <f ca="1">IF($E95="","",MROUND(O95*'7. Demand &amp; Supply Forecast'!K102,1000))</f>
        <v/>
      </c>
      <c r="S95" s="15" t="str">
        <f ca="1">IF($E95="","",MROUND(P95*'7. Demand &amp; Supply Forecast'!L102,1000))</f>
        <v/>
      </c>
      <c r="T95" s="15" t="str">
        <f ca="1">IF($E95="","",MROUND(Q95*'7. Demand &amp; Supply Forecast'!M102,1000))</f>
        <v/>
      </c>
      <c r="U95" s="15" t="str">
        <f ca="1">IF(E95="","",'7. Demand &amp; Supply Forecast'!Q102-'7. Demand &amp; Supply Forecast'!K102)</f>
        <v/>
      </c>
      <c r="V95" s="15" t="str">
        <f ca="1">IF(E95="","",'7. Demand &amp; Supply Forecast'!R102-'7. Demand &amp; Supply Forecast'!L102)</f>
        <v/>
      </c>
      <c r="W95" s="15" t="str">
        <f ca="1">IF(E95="","",'7. Demand &amp; Supply Forecast'!S102-'7. Demand &amp; Supply Forecast'!M102)</f>
        <v/>
      </c>
    </row>
    <row r="96" spans="2:23" x14ac:dyDescent="0.2">
      <c r="B96" s="15" t="str">
        <f>IF('3. Setup &amp; Role Data'!G102="","",'3. Setup &amp; Role Data'!G102)</f>
        <v/>
      </c>
      <c r="C96" s="15" t="str">
        <f>IF('6. Role Evaluation'!H98="","No",'6. Role Evaluation'!H98)</f>
        <v>No</v>
      </c>
      <c r="D96" s="15" t="str">
        <f t="shared" si="1"/>
        <v/>
      </c>
      <c r="E96" s="15" t="str">
        <f t="array" aca="1" ref="E96" ca="1">IFERROR(INDEX(Include,SMALL((IF(LEN(Include),ROW(INDIRECT("1:"&amp;ROWS(Include))))),ROW(B94)),1),"")</f>
        <v/>
      </c>
      <c r="F96" s="15" t="str">
        <f ca="1">IF(E96="","",INDEX('3. Setup &amp; Role Data'!$G$9:$I$109,MATCH(E96,Role,0),2))</f>
        <v/>
      </c>
      <c r="G96" s="15" t="str">
        <f ca="1">IF(E96="","",INDEX('3. Setup &amp; Role Data'!$G$9:$I$109,MATCH(E96,Role,0),3))</f>
        <v/>
      </c>
      <c r="H96" s="15" t="str">
        <f ca="1">IF(E96="","",INDEX('6. Role Evaluation'!$B$5:$G$104,MATCH(E96,Role,0),2))</f>
        <v/>
      </c>
      <c r="I96" s="15" t="str">
        <f ca="1">IF(E96="","",INDEX('6. Role Evaluation'!$B$5:$G$104,MATCH(E96,Role,0),3))</f>
        <v/>
      </c>
      <c r="J96" s="15" t="str">
        <f ca="1">IF(E96="","",INDEX('6. Role Evaluation'!$B$5:$G$104,MATCH(E96,Role,0),4))</f>
        <v/>
      </c>
      <c r="K96" s="15" t="str">
        <f ca="1">IF(E96="","",INDEX('6. Role Evaluation'!$B$5:$G$104,MATCH(E96,Role,0),6))</f>
        <v/>
      </c>
      <c r="L96" s="15" t="str">
        <f ca="1">IF(K96='Hidden-Menus'!$E$3,1,IF(K96='Hidden-Menus'!$E$5,-1,IF(K96='Hidden-Menus'!$E$4,0,"")))</f>
        <v/>
      </c>
      <c r="M96" s="15" t="str">
        <f ca="1">IF(E96="","",INDEX('6. Role Evaluation'!$B$5:$G$104,MATCH(E96,Role,0),5))</f>
        <v/>
      </c>
      <c r="N96" s="15">
        <f ca="1">IF(M96='Hidden-Menus'!$F$3,1,IF(M96='Hidden-Menus'!$F$5,-1,0))</f>
        <v>0</v>
      </c>
      <c r="O96" s="15" t="str">
        <f ca="1">IF('7. Demand &amp; Supply Forecast'!B103="","",F96+F96*'7. Demand &amp; Supply Forecast'!F103)</f>
        <v/>
      </c>
      <c r="P96" s="15" t="str">
        <f ca="1">IF('7. Demand &amp; Supply Forecast'!B103="","",O96+O96*'7. Demand &amp; Supply Forecast'!F103)</f>
        <v/>
      </c>
      <c r="Q96" s="15" t="str">
        <f ca="1">IF('7. Demand &amp; Supply Forecast'!B103="","",P96+P96*'7. Demand &amp; Supply Forecast'!F103)</f>
        <v/>
      </c>
      <c r="R96" s="15" t="str">
        <f ca="1">IF($E96="","",MROUND(O96*'7. Demand &amp; Supply Forecast'!K103,1000))</f>
        <v/>
      </c>
      <c r="S96" s="15" t="str">
        <f ca="1">IF($E96="","",MROUND(P96*'7. Demand &amp; Supply Forecast'!L103,1000))</f>
        <v/>
      </c>
      <c r="T96" s="15" t="str">
        <f ca="1">IF($E96="","",MROUND(Q96*'7. Demand &amp; Supply Forecast'!M103,1000))</f>
        <v/>
      </c>
      <c r="U96" s="15" t="str">
        <f ca="1">IF(E96="","",'7. Demand &amp; Supply Forecast'!Q103-'7. Demand &amp; Supply Forecast'!K103)</f>
        <v/>
      </c>
      <c r="V96" s="15" t="str">
        <f ca="1">IF(E96="","",'7. Demand &amp; Supply Forecast'!R103-'7. Demand &amp; Supply Forecast'!L103)</f>
        <v/>
      </c>
      <c r="W96" s="15" t="str">
        <f ca="1">IF(E96="","",'7. Demand &amp; Supply Forecast'!S103-'7. Demand &amp; Supply Forecast'!M103)</f>
        <v/>
      </c>
    </row>
    <row r="97" spans="2:23" x14ac:dyDescent="0.2">
      <c r="B97" s="15" t="str">
        <f>IF('3. Setup &amp; Role Data'!G103="","",'3. Setup &amp; Role Data'!G103)</f>
        <v/>
      </c>
      <c r="C97" s="15" t="str">
        <f>IF('6. Role Evaluation'!H99="","No",'6. Role Evaluation'!H99)</f>
        <v>No</v>
      </c>
      <c r="D97" s="15" t="str">
        <f t="shared" si="1"/>
        <v/>
      </c>
      <c r="E97" s="15" t="str">
        <f t="array" aca="1" ref="E97" ca="1">IFERROR(INDEX(Include,SMALL((IF(LEN(Include),ROW(INDIRECT("1:"&amp;ROWS(Include))))),ROW(B95)),1),"")</f>
        <v/>
      </c>
      <c r="F97" s="15" t="str">
        <f ca="1">IF(E97="","",INDEX('3. Setup &amp; Role Data'!$G$9:$I$109,MATCH(E97,Role,0),2))</f>
        <v/>
      </c>
      <c r="G97" s="15" t="str">
        <f ca="1">IF(E97="","",INDEX('3. Setup &amp; Role Data'!$G$9:$I$109,MATCH(E97,Role,0),3))</f>
        <v/>
      </c>
      <c r="H97" s="15" t="str">
        <f ca="1">IF(E97="","",INDEX('6. Role Evaluation'!$B$5:$G$104,MATCH(E97,Role,0),2))</f>
        <v/>
      </c>
      <c r="I97" s="15" t="str">
        <f ca="1">IF(E97="","",INDEX('6. Role Evaluation'!$B$5:$G$104,MATCH(E97,Role,0),3))</f>
        <v/>
      </c>
      <c r="J97" s="15" t="str">
        <f ca="1">IF(E97="","",INDEX('6. Role Evaluation'!$B$5:$G$104,MATCH(E97,Role,0),4))</f>
        <v/>
      </c>
      <c r="K97" s="15" t="str">
        <f ca="1">IF(E97="","",INDEX('6. Role Evaluation'!$B$5:$G$104,MATCH(E97,Role,0),6))</f>
        <v/>
      </c>
      <c r="L97" s="15" t="str">
        <f ca="1">IF(K97='Hidden-Menus'!$E$3,1,IF(K97='Hidden-Menus'!$E$5,-1,IF(K97='Hidden-Menus'!$E$4,0,"")))</f>
        <v/>
      </c>
      <c r="M97" s="15" t="str">
        <f ca="1">IF(E97="","",INDEX('6. Role Evaluation'!$B$5:$G$104,MATCH(E97,Role,0),5))</f>
        <v/>
      </c>
      <c r="N97" s="15">
        <f ca="1">IF(M97='Hidden-Menus'!$F$3,1,IF(M97='Hidden-Menus'!$F$5,-1,0))</f>
        <v>0</v>
      </c>
      <c r="O97" s="15" t="str">
        <f ca="1">IF('7. Demand &amp; Supply Forecast'!B104="","",F97+F97*'7. Demand &amp; Supply Forecast'!F104)</f>
        <v/>
      </c>
      <c r="P97" s="15" t="str">
        <f ca="1">IF('7. Demand &amp; Supply Forecast'!B104="","",O97+O97*'7. Demand &amp; Supply Forecast'!F104)</f>
        <v/>
      </c>
      <c r="Q97" s="15" t="str">
        <f ca="1">IF('7. Demand &amp; Supply Forecast'!B104="","",P97+P97*'7. Demand &amp; Supply Forecast'!F104)</f>
        <v/>
      </c>
      <c r="R97" s="15" t="str">
        <f ca="1">IF($E97="","",MROUND(O97*'7. Demand &amp; Supply Forecast'!K104,1000))</f>
        <v/>
      </c>
      <c r="S97" s="15" t="str">
        <f ca="1">IF($E97="","",MROUND(P97*'7. Demand &amp; Supply Forecast'!L104,1000))</f>
        <v/>
      </c>
      <c r="T97" s="15" t="str">
        <f ca="1">IF($E97="","",MROUND(Q97*'7. Demand &amp; Supply Forecast'!M104,1000))</f>
        <v/>
      </c>
      <c r="U97" s="15" t="str">
        <f ca="1">IF(E97="","",'7. Demand &amp; Supply Forecast'!Q104-'7. Demand &amp; Supply Forecast'!K104)</f>
        <v/>
      </c>
      <c r="V97" s="15" t="str">
        <f ca="1">IF(E97="","",'7. Demand &amp; Supply Forecast'!R104-'7. Demand &amp; Supply Forecast'!L104)</f>
        <v/>
      </c>
      <c r="W97" s="15" t="str">
        <f ca="1">IF(E97="","",'7. Demand &amp; Supply Forecast'!S104-'7. Demand &amp; Supply Forecast'!M104)</f>
        <v/>
      </c>
    </row>
    <row r="98" spans="2:23" x14ac:dyDescent="0.2">
      <c r="B98" s="15" t="str">
        <f>IF('3. Setup &amp; Role Data'!G104="","",'3. Setup &amp; Role Data'!G104)</f>
        <v/>
      </c>
      <c r="C98" s="15" t="str">
        <f>IF('6. Role Evaluation'!H100="","No",'6. Role Evaluation'!H100)</f>
        <v>No</v>
      </c>
      <c r="D98" s="15" t="str">
        <f t="shared" si="1"/>
        <v/>
      </c>
      <c r="E98" s="15" t="str">
        <f t="array" aca="1" ref="E98" ca="1">IFERROR(INDEX(Include,SMALL((IF(LEN(Include),ROW(INDIRECT("1:"&amp;ROWS(Include))))),ROW(B96)),1),"")</f>
        <v/>
      </c>
      <c r="F98" s="15" t="str">
        <f ca="1">IF(E98="","",INDEX('3. Setup &amp; Role Data'!$G$9:$I$109,MATCH(E98,Role,0),2))</f>
        <v/>
      </c>
      <c r="G98" s="15" t="str">
        <f ca="1">IF(E98="","",INDEX('3. Setup &amp; Role Data'!$G$9:$I$109,MATCH(E98,Role,0),3))</f>
        <v/>
      </c>
      <c r="H98" s="15" t="str">
        <f ca="1">IF(E98="","",INDEX('6. Role Evaluation'!$B$5:$G$104,MATCH(E98,Role,0),2))</f>
        <v/>
      </c>
      <c r="I98" s="15" t="str">
        <f ca="1">IF(E98="","",INDEX('6. Role Evaluation'!$B$5:$G$104,MATCH(E98,Role,0),3))</f>
        <v/>
      </c>
      <c r="J98" s="15" t="str">
        <f ca="1">IF(E98="","",INDEX('6. Role Evaluation'!$B$5:$G$104,MATCH(E98,Role,0),4))</f>
        <v/>
      </c>
      <c r="K98" s="15" t="str">
        <f ca="1">IF(E98="","",INDEX('6. Role Evaluation'!$B$5:$G$104,MATCH(E98,Role,0),6))</f>
        <v/>
      </c>
      <c r="L98" s="15" t="str">
        <f ca="1">IF(K98='Hidden-Menus'!$E$3,1,IF(K98='Hidden-Menus'!$E$5,-1,IF(K98='Hidden-Menus'!$E$4,0,"")))</f>
        <v/>
      </c>
      <c r="M98" s="15" t="str">
        <f ca="1">IF(E98="","",INDEX('6. Role Evaluation'!$B$5:$G$104,MATCH(E98,Role,0),5))</f>
        <v/>
      </c>
      <c r="N98" s="15">
        <f ca="1">IF(M98='Hidden-Menus'!$F$3,1,IF(M98='Hidden-Menus'!$F$5,-1,0))</f>
        <v>0</v>
      </c>
      <c r="O98" s="15" t="str">
        <f ca="1">IF('7. Demand &amp; Supply Forecast'!B105="","",F98+F98*'7. Demand &amp; Supply Forecast'!F105)</f>
        <v/>
      </c>
      <c r="P98" s="15" t="str">
        <f ca="1">IF('7. Demand &amp; Supply Forecast'!B105="","",O98+O98*'7. Demand &amp; Supply Forecast'!F105)</f>
        <v/>
      </c>
      <c r="Q98" s="15" t="str">
        <f ca="1">IF('7. Demand &amp; Supply Forecast'!B105="","",P98+P98*'7. Demand &amp; Supply Forecast'!F105)</f>
        <v/>
      </c>
      <c r="R98" s="15" t="str">
        <f ca="1">IF($E98="","",MROUND(O98*'7. Demand &amp; Supply Forecast'!K105,1000))</f>
        <v/>
      </c>
      <c r="S98" s="15" t="str">
        <f ca="1">IF($E98="","",MROUND(P98*'7. Demand &amp; Supply Forecast'!L105,1000))</f>
        <v/>
      </c>
      <c r="T98" s="15" t="str">
        <f ca="1">IF($E98="","",MROUND(Q98*'7. Demand &amp; Supply Forecast'!M105,1000))</f>
        <v/>
      </c>
      <c r="U98" s="15" t="str">
        <f ca="1">IF(E98="","",'7. Demand &amp; Supply Forecast'!Q105-'7. Demand &amp; Supply Forecast'!K105)</f>
        <v/>
      </c>
      <c r="V98" s="15" t="str">
        <f ca="1">IF(E98="","",'7. Demand &amp; Supply Forecast'!R105-'7. Demand &amp; Supply Forecast'!L105)</f>
        <v/>
      </c>
      <c r="W98" s="15" t="str">
        <f ca="1">IF(E98="","",'7. Demand &amp; Supply Forecast'!S105-'7. Demand &amp; Supply Forecast'!M105)</f>
        <v/>
      </c>
    </row>
    <row r="99" spans="2:23" x14ac:dyDescent="0.2">
      <c r="B99" s="15" t="str">
        <f>IF('3. Setup &amp; Role Data'!G105="","",'3. Setup &amp; Role Data'!G105)</f>
        <v/>
      </c>
      <c r="C99" s="15" t="str">
        <f>IF('6. Role Evaluation'!H101="","No",'6. Role Evaluation'!H101)</f>
        <v>No</v>
      </c>
      <c r="D99" s="15" t="str">
        <f t="shared" si="1"/>
        <v/>
      </c>
      <c r="E99" s="15" t="str">
        <f t="array" aca="1" ref="E99" ca="1">IFERROR(INDEX(Include,SMALL((IF(LEN(Include),ROW(INDIRECT("1:"&amp;ROWS(Include))))),ROW(B97)),1),"")</f>
        <v/>
      </c>
      <c r="F99" s="15" t="str">
        <f ca="1">IF(E99="","",INDEX('3. Setup &amp; Role Data'!$G$9:$I$109,MATCH(E99,Role,0),2))</f>
        <v/>
      </c>
      <c r="G99" s="15" t="str">
        <f ca="1">IF(E99="","",INDEX('3. Setup &amp; Role Data'!$G$9:$I$109,MATCH(E99,Role,0),3))</f>
        <v/>
      </c>
      <c r="H99" s="15" t="str">
        <f ca="1">IF(E99="","",INDEX('6. Role Evaluation'!$B$5:$G$104,MATCH(E99,Role,0),2))</f>
        <v/>
      </c>
      <c r="I99" s="15" t="str">
        <f ca="1">IF(E99="","",INDEX('6. Role Evaluation'!$B$5:$G$104,MATCH(E99,Role,0),3))</f>
        <v/>
      </c>
      <c r="J99" s="15" t="str">
        <f ca="1">IF(E99="","",INDEX('6. Role Evaluation'!$B$5:$G$104,MATCH(E99,Role,0),4))</f>
        <v/>
      </c>
      <c r="K99" s="15" t="str">
        <f ca="1">IF(E99="","",INDEX('6. Role Evaluation'!$B$5:$G$104,MATCH(E99,Role,0),6))</f>
        <v/>
      </c>
      <c r="L99" s="15" t="str">
        <f ca="1">IF(K99='Hidden-Menus'!$E$3,1,IF(K99='Hidden-Menus'!$E$5,-1,IF(K99='Hidden-Menus'!$E$4,0,"")))</f>
        <v/>
      </c>
      <c r="M99" s="15" t="str">
        <f ca="1">IF(E99="","",INDEX('6. Role Evaluation'!$B$5:$G$104,MATCH(E99,Role,0),5))</f>
        <v/>
      </c>
      <c r="N99" s="15">
        <f ca="1">IF(M99='Hidden-Menus'!$F$3,1,IF(M99='Hidden-Menus'!$F$5,-1,0))</f>
        <v>0</v>
      </c>
      <c r="O99" s="15" t="str">
        <f ca="1">IF('7. Demand &amp; Supply Forecast'!B106="","",F99+F99*'7. Demand &amp; Supply Forecast'!F106)</f>
        <v/>
      </c>
      <c r="P99" s="15" t="str">
        <f ca="1">IF('7. Demand &amp; Supply Forecast'!B106="","",O99+O99*'7. Demand &amp; Supply Forecast'!F106)</f>
        <v/>
      </c>
      <c r="Q99" s="15" t="str">
        <f ca="1">IF('7. Demand &amp; Supply Forecast'!B106="","",P99+P99*'7. Demand &amp; Supply Forecast'!F106)</f>
        <v/>
      </c>
      <c r="R99" s="15" t="str">
        <f ca="1">IF($E99="","",MROUND(O99*'7. Demand &amp; Supply Forecast'!K106,1000))</f>
        <v/>
      </c>
      <c r="S99" s="15" t="str">
        <f ca="1">IF($E99="","",MROUND(P99*'7. Demand &amp; Supply Forecast'!L106,1000))</f>
        <v/>
      </c>
      <c r="T99" s="15" t="str">
        <f ca="1">IF($E99="","",MROUND(Q99*'7. Demand &amp; Supply Forecast'!M106,1000))</f>
        <v/>
      </c>
      <c r="U99" s="15" t="str">
        <f ca="1">IF(E99="","",'7. Demand &amp; Supply Forecast'!Q106-'7. Demand &amp; Supply Forecast'!K106)</f>
        <v/>
      </c>
      <c r="V99" s="15" t="str">
        <f ca="1">IF(E99="","",'7. Demand &amp; Supply Forecast'!R106-'7. Demand &amp; Supply Forecast'!L106)</f>
        <v/>
      </c>
      <c r="W99" s="15" t="str">
        <f ca="1">IF(E99="","",'7. Demand &amp; Supply Forecast'!S106-'7. Demand &amp; Supply Forecast'!M106)</f>
        <v/>
      </c>
    </row>
    <row r="100" spans="2:23" x14ac:dyDescent="0.2">
      <c r="B100" s="15" t="str">
        <f>IF('3. Setup &amp; Role Data'!G106="","",'3. Setup &amp; Role Data'!G106)</f>
        <v/>
      </c>
      <c r="C100" s="15" t="str">
        <f>IF('6. Role Evaluation'!H102="","No",'6. Role Evaluation'!H102)</f>
        <v>No</v>
      </c>
      <c r="D100" s="15" t="str">
        <f t="shared" si="1"/>
        <v/>
      </c>
      <c r="E100" s="15" t="str">
        <f t="array" aca="1" ref="E100" ca="1">IFERROR(INDEX(Include,SMALL((IF(LEN(Include),ROW(INDIRECT("1:"&amp;ROWS(Include))))),ROW(B98)),1),"")</f>
        <v/>
      </c>
      <c r="F100" s="15" t="str">
        <f ca="1">IF(E100="","",INDEX('3. Setup &amp; Role Data'!$G$9:$I$109,MATCH(E100,Role,0),2))</f>
        <v/>
      </c>
      <c r="G100" s="15" t="str">
        <f ca="1">IF(E100="","",INDEX('3. Setup &amp; Role Data'!$G$9:$I$109,MATCH(E100,Role,0),3))</f>
        <v/>
      </c>
      <c r="H100" s="15" t="str">
        <f ca="1">IF(E100="","",INDEX('6. Role Evaluation'!$B$5:$G$104,MATCH(E100,Role,0),2))</f>
        <v/>
      </c>
      <c r="I100" s="15" t="str">
        <f ca="1">IF(E100="","",INDEX('6. Role Evaluation'!$B$5:$G$104,MATCH(E100,Role,0),3))</f>
        <v/>
      </c>
      <c r="J100" s="15" t="str">
        <f ca="1">IF(E100="","",INDEX('6. Role Evaluation'!$B$5:$G$104,MATCH(E100,Role,0),4))</f>
        <v/>
      </c>
      <c r="K100" s="15" t="str">
        <f ca="1">IF(E100="","",INDEX('6. Role Evaluation'!$B$5:$G$104,MATCH(E100,Role,0),6))</f>
        <v/>
      </c>
      <c r="L100" s="15" t="str">
        <f ca="1">IF(K100='Hidden-Menus'!$E$3,1,IF(K100='Hidden-Menus'!$E$5,-1,IF(K100='Hidden-Menus'!$E$4,0,"")))</f>
        <v/>
      </c>
      <c r="M100" s="15" t="str">
        <f ca="1">IF(E100="","",INDEX('6. Role Evaluation'!$B$5:$G$104,MATCH(E100,Role,0),5))</f>
        <v/>
      </c>
      <c r="N100" s="15">
        <f ca="1">IF(M100='Hidden-Menus'!$F$3,1,IF(M100='Hidden-Menus'!$F$5,-1,0))</f>
        <v>0</v>
      </c>
      <c r="O100" s="15" t="str">
        <f ca="1">IF('7. Demand &amp; Supply Forecast'!B107="","",F100+F100*'7. Demand &amp; Supply Forecast'!F107)</f>
        <v/>
      </c>
      <c r="P100" s="15" t="str">
        <f ca="1">IF('7. Demand &amp; Supply Forecast'!B107="","",O100+O100*'7. Demand &amp; Supply Forecast'!F107)</f>
        <v/>
      </c>
      <c r="Q100" s="15" t="str">
        <f ca="1">IF('7. Demand &amp; Supply Forecast'!B107="","",P100+P100*'7. Demand &amp; Supply Forecast'!F107)</f>
        <v/>
      </c>
      <c r="R100" s="15" t="str">
        <f ca="1">IF($E100="","",MROUND(O100*'7. Demand &amp; Supply Forecast'!K107,1000))</f>
        <v/>
      </c>
      <c r="S100" s="15" t="str">
        <f ca="1">IF($E100="","",MROUND(P100*'7. Demand &amp; Supply Forecast'!L107,1000))</f>
        <v/>
      </c>
      <c r="T100" s="15" t="str">
        <f ca="1">IF($E100="","",MROUND(Q100*'7. Demand &amp; Supply Forecast'!M107,1000))</f>
        <v/>
      </c>
      <c r="U100" s="15" t="str">
        <f ca="1">IF(E100="","",'7. Demand &amp; Supply Forecast'!Q107-'7. Demand &amp; Supply Forecast'!K107)</f>
        <v/>
      </c>
      <c r="V100" s="15" t="str">
        <f ca="1">IF(E100="","",'7. Demand &amp; Supply Forecast'!R107-'7. Demand &amp; Supply Forecast'!L107)</f>
        <v/>
      </c>
      <c r="W100" s="15" t="str">
        <f ca="1">IF(E100="","",'7. Demand &amp; Supply Forecast'!S107-'7. Demand &amp; Supply Forecast'!M107)</f>
        <v/>
      </c>
    </row>
    <row r="101" spans="2:23" x14ac:dyDescent="0.2">
      <c r="B101" s="15" t="str">
        <f>IF('3. Setup &amp; Role Data'!G107="","",'3. Setup &amp; Role Data'!G107)</f>
        <v/>
      </c>
      <c r="C101" s="15" t="str">
        <f>IF('6. Role Evaluation'!H103="","No",'6. Role Evaluation'!H103)</f>
        <v>No</v>
      </c>
      <c r="D101" s="15" t="str">
        <f t="shared" si="1"/>
        <v/>
      </c>
      <c r="E101" s="15" t="str">
        <f t="array" aca="1" ref="E101" ca="1">IFERROR(INDEX(Include,SMALL((IF(LEN(Include),ROW(INDIRECT("1:"&amp;ROWS(Include))))),ROW(B99)),1),"")</f>
        <v/>
      </c>
      <c r="F101" s="15" t="str">
        <f ca="1">IF(E101="","",INDEX('3. Setup &amp; Role Data'!$G$9:$I$109,MATCH(E101,Role,0),2))</f>
        <v/>
      </c>
      <c r="G101" s="15" t="str">
        <f ca="1">IF(E101="","",INDEX('3. Setup &amp; Role Data'!$G$9:$I$109,MATCH(E101,Role,0),3))</f>
        <v/>
      </c>
      <c r="H101" s="15" t="str">
        <f ca="1">IF(E101="","",INDEX('6. Role Evaluation'!$B$5:$G$104,MATCH(E101,Role,0),2))</f>
        <v/>
      </c>
      <c r="I101" s="15" t="str">
        <f ca="1">IF(E101="","",INDEX('6. Role Evaluation'!$B$5:$G$104,MATCH(E101,Role,0),3))</f>
        <v/>
      </c>
      <c r="J101" s="15" t="str">
        <f ca="1">IF(E101="","",INDEX('6. Role Evaluation'!$B$5:$G$104,MATCH(E101,Role,0),4))</f>
        <v/>
      </c>
      <c r="K101" s="15" t="str">
        <f ca="1">IF(E101="","",INDEX('6. Role Evaluation'!$B$5:$G$104,MATCH(E101,Role,0),6))</f>
        <v/>
      </c>
      <c r="L101" s="15" t="str">
        <f ca="1">IF(K101='Hidden-Menus'!$E$3,1,IF(K101='Hidden-Menus'!$E$5,-1,IF(K101='Hidden-Menus'!$E$4,0,"")))</f>
        <v/>
      </c>
      <c r="M101" s="15" t="str">
        <f ca="1">IF(E101="","",INDEX('6. Role Evaluation'!$B$5:$G$104,MATCH(E101,Role,0),5))</f>
        <v/>
      </c>
      <c r="N101" s="15">
        <f ca="1">IF(M101='Hidden-Menus'!$F$3,1,IF(M101='Hidden-Menus'!$F$5,-1,0))</f>
        <v>0</v>
      </c>
      <c r="O101" s="15" t="str">
        <f ca="1">IF('7. Demand &amp; Supply Forecast'!B108="","",F101+F101*'7. Demand &amp; Supply Forecast'!F108)</f>
        <v/>
      </c>
      <c r="P101" s="15" t="str">
        <f ca="1">IF('7. Demand &amp; Supply Forecast'!B108="","",O101+O101*'7. Demand &amp; Supply Forecast'!F108)</f>
        <v/>
      </c>
      <c r="Q101" s="15" t="str">
        <f ca="1">IF('7. Demand &amp; Supply Forecast'!B108="","",P101+P101*'7. Demand &amp; Supply Forecast'!F108)</f>
        <v/>
      </c>
      <c r="R101" s="15" t="str">
        <f ca="1">IF($E101="","",MROUND(O101*'7. Demand &amp; Supply Forecast'!K108,1000))</f>
        <v/>
      </c>
      <c r="S101" s="15" t="str">
        <f ca="1">IF($E101="","",MROUND(P101*'7. Demand &amp; Supply Forecast'!L108,1000))</f>
        <v/>
      </c>
      <c r="T101" s="15" t="str">
        <f ca="1">IF($E101="","",MROUND(Q101*'7. Demand &amp; Supply Forecast'!M108,1000))</f>
        <v/>
      </c>
      <c r="U101" s="15" t="str">
        <f ca="1">IF(E101="","",'7. Demand &amp; Supply Forecast'!Q108-'7. Demand &amp; Supply Forecast'!K108)</f>
        <v/>
      </c>
      <c r="V101" s="15" t="str">
        <f ca="1">IF(E101="","",'7. Demand &amp; Supply Forecast'!R108-'7. Demand &amp; Supply Forecast'!L108)</f>
        <v/>
      </c>
      <c r="W101" s="15" t="str">
        <f ca="1">IF(E101="","",'7. Demand &amp; Supply Forecast'!S108-'7. Demand &amp; Supply Forecast'!M108)</f>
        <v/>
      </c>
    </row>
    <row r="102" spans="2:23" x14ac:dyDescent="0.2">
      <c r="B102" s="15" t="str">
        <f>IF('3. Setup &amp; Role Data'!G108="","",'3. Setup &amp; Role Data'!G108)</f>
        <v/>
      </c>
      <c r="C102" s="15" t="str">
        <f>IF('6. Role Evaluation'!H104="","No",'6. Role Evaluation'!H104)</f>
        <v>No</v>
      </c>
      <c r="D102" s="15" t="str">
        <f t="shared" si="1"/>
        <v/>
      </c>
      <c r="E102" s="15" t="str">
        <f t="array" aca="1" ref="E102" ca="1">IFERROR(INDEX(Include,SMALL((IF(LEN(Include),ROW(INDIRECT("1:"&amp;ROWS(Include))))),ROW(B100)),1),"")</f>
        <v/>
      </c>
      <c r="F102" s="15" t="str">
        <f ca="1">IF(E102="","",INDEX('3. Setup &amp; Role Data'!$G$9:$I$109,MATCH(E102,Role,0),2))</f>
        <v/>
      </c>
      <c r="G102" s="15" t="str">
        <f ca="1">IF(E102="","",INDEX('3. Setup &amp; Role Data'!$G$9:$I$109,MATCH(E102,Role,0),3))</f>
        <v/>
      </c>
      <c r="H102" s="15" t="str">
        <f ca="1">IF(E102="","",INDEX('6. Role Evaluation'!$B$5:$G$104,MATCH(E102,Role,0),2))</f>
        <v/>
      </c>
      <c r="I102" s="15" t="str">
        <f ca="1">IF(E102="","",INDEX('6. Role Evaluation'!$B$5:$G$104,MATCH(E102,Role,0),3))</f>
        <v/>
      </c>
      <c r="J102" s="15" t="str">
        <f ca="1">IF(E102="","",INDEX('6. Role Evaluation'!$B$5:$G$104,MATCH(E102,Role,0),4))</f>
        <v/>
      </c>
      <c r="K102" s="15" t="str">
        <f ca="1">IF(E102="","",INDEX('6. Role Evaluation'!$B$5:$G$104,MATCH(E102,Role,0),6))</f>
        <v/>
      </c>
      <c r="L102" s="15" t="str">
        <f ca="1">IF(K102='Hidden-Menus'!$E$3,1,IF(K102='Hidden-Menus'!$E$5,-1,IF(K102='Hidden-Menus'!$E$4,0,"")))</f>
        <v/>
      </c>
      <c r="M102" s="15" t="str">
        <f ca="1">IF(E102="","",INDEX('6. Role Evaluation'!$B$5:$G$104,MATCH(E102,Role,0),5))</f>
        <v/>
      </c>
      <c r="N102" s="15">
        <f ca="1">IF(M102='Hidden-Menus'!$F$3,1,IF(M102='Hidden-Menus'!$F$5,-1,0))</f>
        <v>0</v>
      </c>
      <c r="O102" s="15" t="str">
        <f ca="1">IF('7. Demand &amp; Supply Forecast'!B109="","",F102+F102*'7. Demand &amp; Supply Forecast'!F109)</f>
        <v/>
      </c>
      <c r="P102" s="15" t="str">
        <f ca="1">IF('7. Demand &amp; Supply Forecast'!B109="","",O102+O102*'7. Demand &amp; Supply Forecast'!F109)</f>
        <v/>
      </c>
      <c r="Q102" s="15" t="str">
        <f ca="1">IF('7. Demand &amp; Supply Forecast'!B109="","",P102+P102*'7. Demand &amp; Supply Forecast'!F109)</f>
        <v/>
      </c>
      <c r="R102" s="15" t="str">
        <f ca="1">IF($E102="","",MROUND(O102*'7. Demand &amp; Supply Forecast'!K109,1000))</f>
        <v/>
      </c>
      <c r="S102" s="15" t="str">
        <f ca="1">IF($E102="","",MROUND(P102*'7. Demand &amp; Supply Forecast'!L109,1000))</f>
        <v/>
      </c>
      <c r="T102" s="15" t="str">
        <f ca="1">IF($E102="","",MROUND(Q102*'7. Demand &amp; Supply Forecast'!M109,1000))</f>
        <v/>
      </c>
      <c r="U102" s="15" t="str">
        <f ca="1">IF(E102="","",'7. Demand &amp; Supply Forecast'!Q109-'7. Demand &amp; Supply Forecast'!K109)</f>
        <v/>
      </c>
      <c r="V102" s="15" t="str">
        <f ca="1">IF(E102="","",'7. Demand &amp; Supply Forecast'!R109-'7. Demand &amp; Supply Forecast'!L109)</f>
        <v/>
      </c>
      <c r="W102" s="15" t="str">
        <f ca="1">IF(E102="","",'7. Demand &amp; Supply Forecast'!S109-'7. Demand &amp; Supply Forecast'!M109)</f>
        <v/>
      </c>
    </row>
    <row r="103" spans="2:23" x14ac:dyDescent="0.2">
      <c r="B103" s="31" t="str">
        <f>IF('3. Setup &amp; Role Data'!G109="","",'3. Setup &amp; Role Data'!G109)</f>
        <v/>
      </c>
      <c r="C103" s="15" t="str">
        <f>IF('6. Role Evaluation'!H105="","No",'6. Role Evaluation'!H105)</f>
        <v>No</v>
      </c>
      <c r="D103" s="15" t="str">
        <f t="shared" si="1"/>
        <v/>
      </c>
      <c r="E103" s="15" t="str">
        <f t="array" aca="1" ref="E103" ca="1">IFERROR(INDEX(Include,SMALL((IF(LEN(Include),ROW(INDIRECT("1:"&amp;ROWS(Include))))),ROW(B101)),1),"")</f>
        <v/>
      </c>
      <c r="F103" s="15" t="str">
        <f ca="1">IF(E103="","",INDEX('3. Setup &amp; Role Data'!$G$9:$I$109,MATCH(E103,Role,0),2))</f>
        <v/>
      </c>
      <c r="G103" s="15" t="str">
        <f ca="1">IF(E103="","",INDEX('3. Setup &amp; Role Data'!$G$9:$I$109,MATCH(E103,Role,0),3))</f>
        <v/>
      </c>
      <c r="H103" s="15" t="str">
        <f ca="1">IF(E103="","",INDEX('6. Role Evaluation'!$B$5:$G$104,MATCH(E103,Role,0),2))</f>
        <v/>
      </c>
      <c r="I103" s="15" t="str">
        <f ca="1">IF(E103="","",INDEX('6. Role Evaluation'!$B$5:$G$104,MATCH(E103,Role,0),3))</f>
        <v/>
      </c>
      <c r="J103" s="15" t="str">
        <f ca="1">IF(E103="","",INDEX('6. Role Evaluation'!$B$5:$G$104,MATCH(E103,Role,0),4))</f>
        <v/>
      </c>
      <c r="K103" s="15" t="str">
        <f ca="1">IF(E103="","",INDEX('6. Role Evaluation'!$B$5:$G$104,MATCH(E103,Role,0),6))</f>
        <v/>
      </c>
      <c r="L103" s="15" t="str">
        <f ca="1">IF(K103='Hidden-Menus'!$E$3,1,IF(K103='Hidden-Menus'!$E$5,-1,IF(K103='Hidden-Menus'!$E$4,0,"")))</f>
        <v/>
      </c>
      <c r="M103" s="15" t="str">
        <f ca="1">IF(E103="","",INDEX('6. Role Evaluation'!$B$5:$G$104,MATCH(E103,Role,0),5))</f>
        <v/>
      </c>
      <c r="N103" s="15">
        <f ca="1">IF(M103='Hidden-Menus'!$F$3,1,IF(M103='Hidden-Menus'!$F$5,-1,0))</f>
        <v>0</v>
      </c>
      <c r="O103" s="15" t="str">
        <f ca="1">IF('7. Demand &amp; Supply Forecast'!B110="","",F103+F103*'7. Demand &amp; Supply Forecast'!F110)</f>
        <v/>
      </c>
      <c r="P103" s="15" t="str">
        <f ca="1">IF('7. Demand &amp; Supply Forecast'!B110="","",O103+O103*'7. Demand &amp; Supply Forecast'!F110)</f>
        <v/>
      </c>
      <c r="Q103" s="15" t="str">
        <f ca="1">IF('7. Demand &amp; Supply Forecast'!B110="","",P103+P103*'7. Demand &amp; Supply Forecast'!F110)</f>
        <v/>
      </c>
      <c r="R103" s="15" t="str">
        <f ca="1">IF($E103="","",MROUND(O103*'7. Demand &amp; Supply Forecast'!K110,1000))</f>
        <v/>
      </c>
      <c r="S103" s="15" t="str">
        <f ca="1">IF($E103="","",MROUND(P103*'7. Demand &amp; Supply Forecast'!L110,1000))</f>
        <v/>
      </c>
      <c r="T103" s="15" t="str">
        <f ca="1">IF($E103="","",MROUND(Q103*'7. Demand &amp; Supply Forecast'!M110,1000))</f>
        <v/>
      </c>
      <c r="U103" s="15" t="str">
        <f ca="1">IF(E103="","",'7. Demand &amp; Supply Forecast'!Q110-'7. Demand &amp; Supply Forecast'!K110)</f>
        <v/>
      </c>
      <c r="V103" s="15" t="str">
        <f ca="1">IF(E103="","",'7. Demand &amp; Supply Forecast'!R110-'7. Demand &amp; Supply Forecast'!L110)</f>
        <v/>
      </c>
      <c r="W103" s="15" t="str">
        <f ca="1">IF(E103="","",'7. Demand &amp; Supply Forecast'!S110-'7. Demand &amp; Supply Forecast'!M110)</f>
        <v/>
      </c>
    </row>
  </sheetData>
  <mergeCells count="1">
    <mergeCell ref="O1:W1"/>
  </mergeCell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L7"/>
  <sheetViews>
    <sheetView zoomScaleNormal="100" workbookViewId="0"/>
  </sheetViews>
  <sheetFormatPr defaultRowHeight="16.5" x14ac:dyDescent="0.3"/>
  <cols>
    <col min="1" max="1" width="2.75" customWidth="1"/>
    <col min="2" max="2" width="16.25" bestFit="1" customWidth="1"/>
    <col min="3" max="3" width="16.25" customWidth="1"/>
    <col min="4" max="4" width="18.125" customWidth="1"/>
    <col min="5" max="6" width="15.875" customWidth="1"/>
    <col min="7" max="7" width="16.875" customWidth="1"/>
    <col min="8" max="8" width="20.5" customWidth="1"/>
    <col min="9" max="9" width="14.875" customWidth="1"/>
    <col min="10" max="10" width="21.125" customWidth="1"/>
    <col min="11" max="11" width="15.375" customWidth="1"/>
  </cols>
  <sheetData>
    <row r="1" spans="1:12" ht="15" customHeight="1" x14ac:dyDescent="0.3">
      <c r="A1" s="15"/>
      <c r="B1" s="15"/>
      <c r="C1" s="15"/>
      <c r="D1" s="15"/>
      <c r="E1" s="15"/>
      <c r="F1" s="15"/>
      <c r="G1" s="15"/>
      <c r="H1" s="15"/>
      <c r="I1" s="15"/>
      <c r="J1" s="15"/>
      <c r="K1" s="15"/>
      <c r="L1" s="15"/>
    </row>
    <row r="2" spans="1:12" ht="33.75" customHeight="1" x14ac:dyDescent="0.3">
      <c r="A2" s="15"/>
      <c r="B2" s="15" t="s">
        <v>171</v>
      </c>
      <c r="C2" s="15" t="s">
        <v>57</v>
      </c>
      <c r="D2" s="15" t="s">
        <v>172</v>
      </c>
      <c r="E2" s="15" t="s">
        <v>173</v>
      </c>
      <c r="F2" s="15" t="s">
        <v>174</v>
      </c>
      <c r="G2" s="15" t="s">
        <v>175</v>
      </c>
      <c r="H2" s="15" t="s">
        <v>176</v>
      </c>
      <c r="I2" s="15" t="s">
        <v>177</v>
      </c>
      <c r="J2" s="15" t="s">
        <v>178</v>
      </c>
      <c r="K2" s="15" t="s">
        <v>179</v>
      </c>
      <c r="L2" s="15" t="s">
        <v>137</v>
      </c>
    </row>
    <row r="3" spans="1:12" x14ac:dyDescent="0.3">
      <c r="A3" s="15"/>
      <c r="B3" s="15" t="s">
        <v>14</v>
      </c>
      <c r="C3" s="15" t="s">
        <v>67</v>
      </c>
      <c r="D3" s="15" t="s">
        <v>102</v>
      </c>
      <c r="E3" s="15" t="s">
        <v>105</v>
      </c>
      <c r="F3" s="15" t="s">
        <v>96</v>
      </c>
      <c r="G3" s="15">
        <v>0</v>
      </c>
      <c r="H3" s="15">
        <f>COUNTA(Role)</f>
        <v>8</v>
      </c>
      <c r="I3" s="15">
        <f>COUNTA(Dept)</f>
        <v>5</v>
      </c>
      <c r="J3" s="15">
        <f>COUNTA(Diversity)</f>
        <v>4</v>
      </c>
      <c r="K3" s="15" t="s">
        <v>98</v>
      </c>
      <c r="L3" s="15" t="s">
        <v>152</v>
      </c>
    </row>
    <row r="4" spans="1:12" x14ac:dyDescent="0.3">
      <c r="A4" s="15"/>
      <c r="B4" s="15" t="s">
        <v>15</v>
      </c>
      <c r="C4" s="15" t="s">
        <v>68</v>
      </c>
      <c r="D4" s="15" t="s">
        <v>100</v>
      </c>
      <c r="E4" s="15" t="s">
        <v>97</v>
      </c>
      <c r="F4" s="15" t="s">
        <v>97</v>
      </c>
      <c r="G4" s="15">
        <v>1</v>
      </c>
      <c r="H4" s="15"/>
      <c r="I4" s="15"/>
      <c r="J4" s="15"/>
      <c r="K4" s="15" t="s">
        <v>94</v>
      </c>
      <c r="L4" s="15" t="s">
        <v>180</v>
      </c>
    </row>
    <row r="5" spans="1:12" x14ac:dyDescent="0.3">
      <c r="A5" s="15"/>
      <c r="B5" s="15" t="s">
        <v>181</v>
      </c>
      <c r="C5" s="15" t="s">
        <v>69</v>
      </c>
      <c r="D5" s="15" t="s">
        <v>95</v>
      </c>
      <c r="E5" s="15" t="s">
        <v>101</v>
      </c>
      <c r="F5" s="15" t="s">
        <v>103</v>
      </c>
      <c r="G5" s="15">
        <v>2</v>
      </c>
      <c r="H5" s="15"/>
      <c r="I5" s="15"/>
      <c r="J5" s="15"/>
      <c r="K5" s="15"/>
      <c r="L5" s="15" t="s">
        <v>182</v>
      </c>
    </row>
    <row r="6" spans="1:12" x14ac:dyDescent="0.3">
      <c r="A6" s="15"/>
      <c r="B6" s="15"/>
      <c r="C6" s="15"/>
      <c r="D6" s="15"/>
      <c r="E6" s="15"/>
      <c r="F6" s="15"/>
      <c r="G6" s="15">
        <v>3</v>
      </c>
      <c r="H6" s="15"/>
      <c r="I6" s="15"/>
      <c r="J6" s="15"/>
      <c r="K6" s="15"/>
      <c r="L6" s="15"/>
    </row>
    <row r="7" spans="1:12" x14ac:dyDescent="0.3">
      <c r="A7" s="15"/>
      <c r="B7" s="15"/>
      <c r="C7" s="15"/>
      <c r="D7" s="15"/>
      <c r="E7" s="15"/>
      <c r="F7" s="15"/>
      <c r="G7" s="15">
        <v>4</v>
      </c>
      <c r="H7" s="15"/>
      <c r="I7" s="15"/>
      <c r="J7" s="15"/>
      <c r="K7" s="15"/>
      <c r="L7" s="1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16"/>
  <sheetViews>
    <sheetView topLeftCell="I1" zoomScaleNormal="100" workbookViewId="0"/>
  </sheetViews>
  <sheetFormatPr defaultRowHeight="16.5" x14ac:dyDescent="0.3"/>
  <cols>
    <col min="1" max="1" width="2.75" customWidth="1"/>
    <col min="2" max="2" width="17.25" customWidth="1"/>
    <col min="3" max="3" width="14.875" customWidth="1"/>
    <col min="4" max="4" width="12.25" customWidth="1"/>
    <col min="5" max="5" width="12.5" customWidth="1"/>
    <col min="6" max="6" width="14.875" customWidth="1"/>
    <col min="7" max="7" width="12.25" customWidth="1"/>
    <col min="8" max="8" width="12.5" bestFit="1" customWidth="1"/>
    <col min="9" max="9" width="18" bestFit="1" customWidth="1"/>
    <col min="10" max="10" width="10.625" bestFit="1" customWidth="1"/>
    <col min="11" max="11" width="10.5" customWidth="1"/>
    <col min="12" max="13" width="11.125" customWidth="1"/>
    <col min="14" max="14" width="15.125" customWidth="1"/>
    <col min="15" max="15" width="11.125" customWidth="1"/>
    <col min="16" max="16" width="2.875" customWidth="1"/>
    <col min="17" max="17" width="12.5" customWidth="1"/>
    <col min="18" max="18" width="20.75" customWidth="1"/>
    <col min="19" max="19" width="2.875" customWidth="1"/>
    <col min="20" max="20" width="15.125" customWidth="1"/>
    <col min="21" max="21" width="13.625" customWidth="1"/>
    <col min="22" max="22" width="28.25" customWidth="1"/>
    <col min="23" max="23" width="11.125" bestFit="1" customWidth="1"/>
    <col min="24" max="41" width="2.875" customWidth="1"/>
    <col min="42" max="42" width="10.625" bestFit="1" customWidth="1"/>
  </cols>
  <sheetData>
    <row r="1" spans="1:23" ht="15" customHeight="1" x14ac:dyDescent="0.3">
      <c r="A1" s="15"/>
      <c r="B1" s="15"/>
      <c r="C1" s="15"/>
      <c r="D1" s="15"/>
      <c r="E1" s="15"/>
      <c r="F1" s="15"/>
      <c r="G1" s="15"/>
      <c r="H1" s="15"/>
      <c r="I1" s="15"/>
      <c r="J1" s="15"/>
      <c r="K1" s="15"/>
      <c r="L1" s="15"/>
      <c r="M1" s="15"/>
      <c r="N1" s="15"/>
      <c r="O1" s="15"/>
      <c r="P1" s="15"/>
      <c r="Q1" s="15"/>
      <c r="R1" s="15"/>
      <c r="S1" s="15"/>
      <c r="T1" s="15"/>
      <c r="U1" s="15"/>
      <c r="V1" s="15"/>
      <c r="W1" s="15"/>
    </row>
    <row r="2" spans="1:23" ht="33.75" customHeight="1" x14ac:dyDescent="0.3">
      <c r="A2" s="15"/>
      <c r="B2" s="238" t="s">
        <v>183</v>
      </c>
      <c r="C2" s="238"/>
      <c r="D2" s="238"/>
      <c r="E2" s="238"/>
      <c r="F2" s="238"/>
      <c r="G2" s="238"/>
      <c r="H2" s="238"/>
      <c r="I2" s="238"/>
      <c r="J2" s="238"/>
      <c r="K2" s="238"/>
      <c r="L2" s="238"/>
      <c r="M2" s="238"/>
      <c r="N2" s="238"/>
      <c r="O2" s="15"/>
      <c r="P2" s="15"/>
      <c r="Q2" s="15"/>
      <c r="R2" s="15"/>
      <c r="S2" s="15"/>
      <c r="T2" s="15"/>
      <c r="U2" s="15"/>
      <c r="V2" s="15"/>
      <c r="W2" s="15"/>
    </row>
    <row r="3" spans="1:23" x14ac:dyDescent="0.3">
      <c r="A3" s="15"/>
      <c r="B3" s="15"/>
      <c r="C3" s="15"/>
      <c r="D3" s="15"/>
      <c r="E3" s="15"/>
      <c r="F3" s="15"/>
      <c r="G3" s="15"/>
      <c r="H3" s="15"/>
      <c r="I3" s="15"/>
      <c r="J3" s="15"/>
      <c r="K3" s="15"/>
      <c r="L3" s="15"/>
      <c r="M3" s="15"/>
      <c r="N3" s="15"/>
      <c r="O3" s="15"/>
      <c r="P3" s="15"/>
      <c r="Q3" s="15"/>
      <c r="R3" s="15"/>
      <c r="S3" s="15"/>
      <c r="T3" s="15"/>
      <c r="U3" s="15"/>
      <c r="V3" s="15"/>
      <c r="W3" s="15"/>
    </row>
    <row r="4" spans="1:23" x14ac:dyDescent="0.3">
      <c r="A4" s="15"/>
      <c r="B4" s="15"/>
      <c r="C4" s="15"/>
      <c r="D4" s="15"/>
      <c r="E4" s="15"/>
      <c r="F4" s="15"/>
      <c r="G4" s="15"/>
      <c r="H4" s="15"/>
      <c r="I4" s="15"/>
      <c r="J4" s="15"/>
      <c r="K4" s="15"/>
      <c r="L4" s="15"/>
      <c r="M4" s="15"/>
      <c r="N4" s="15"/>
      <c r="O4" s="15"/>
      <c r="P4" s="15"/>
      <c r="Q4" s="15"/>
      <c r="R4" s="15"/>
      <c r="S4" s="15"/>
      <c r="T4" s="15"/>
      <c r="U4" s="15"/>
      <c r="V4" s="15"/>
      <c r="W4" s="15"/>
    </row>
    <row r="5" spans="1:23" ht="16.5" customHeight="1" x14ac:dyDescent="0.3">
      <c r="A5" s="15"/>
      <c r="B5" s="214" t="s">
        <v>184</v>
      </c>
      <c r="C5" s="215" t="s">
        <v>185</v>
      </c>
      <c r="D5" s="15"/>
      <c r="E5" s="214" t="s">
        <v>184</v>
      </c>
      <c r="F5" s="215" t="s">
        <v>185</v>
      </c>
      <c r="G5" s="15"/>
      <c r="H5" s="214" t="s">
        <v>184</v>
      </c>
      <c r="I5" s="215" t="s">
        <v>186</v>
      </c>
      <c r="J5" s="15"/>
      <c r="K5" s="214" t="s">
        <v>29</v>
      </c>
      <c r="L5" s="215" t="s">
        <v>187</v>
      </c>
      <c r="M5" s="15"/>
      <c r="N5" s="214" t="s">
        <v>29</v>
      </c>
      <c r="O5" s="215" t="s">
        <v>187</v>
      </c>
      <c r="P5" s="15"/>
      <c r="Q5" s="214" t="s">
        <v>184</v>
      </c>
      <c r="R5" s="215" t="s">
        <v>188</v>
      </c>
      <c r="S5" s="15"/>
      <c r="T5" s="219" t="s">
        <v>29</v>
      </c>
      <c r="U5" s="220" t="s">
        <v>189</v>
      </c>
      <c r="V5" s="221" t="s">
        <v>190</v>
      </c>
      <c r="W5" s="223" t="s">
        <v>187</v>
      </c>
    </row>
    <row r="6" spans="1:23" x14ac:dyDescent="0.3">
      <c r="A6" s="15"/>
      <c r="B6" s="216" t="s">
        <v>28</v>
      </c>
      <c r="C6" s="222">
        <v>7</v>
      </c>
      <c r="D6" s="15"/>
      <c r="E6" s="216" t="s">
        <v>68</v>
      </c>
      <c r="F6" s="222">
        <v>20</v>
      </c>
      <c r="G6" s="15"/>
      <c r="H6" s="216" t="s">
        <v>72</v>
      </c>
      <c r="I6" s="222"/>
      <c r="J6" s="15"/>
      <c r="K6" s="216" t="s">
        <v>46</v>
      </c>
      <c r="L6" s="217">
        <v>600000</v>
      </c>
      <c r="M6" s="15"/>
      <c r="N6" s="216" t="s">
        <v>46</v>
      </c>
      <c r="O6" s="217">
        <v>600000</v>
      </c>
      <c r="P6" s="15"/>
      <c r="Q6" s="216" t="s">
        <v>81</v>
      </c>
      <c r="R6" s="222"/>
      <c r="S6" s="15"/>
      <c r="T6" s="216" t="s">
        <v>46</v>
      </c>
      <c r="U6" s="218">
        <v>43.2</v>
      </c>
      <c r="V6" s="222">
        <v>1</v>
      </c>
      <c r="W6" s="217">
        <v>600000</v>
      </c>
    </row>
    <row r="7" spans="1:23" x14ac:dyDescent="0.3">
      <c r="A7" s="15"/>
      <c r="B7" s="216" t="s">
        <v>40</v>
      </c>
      <c r="C7" s="222">
        <v>25</v>
      </c>
      <c r="D7" s="15"/>
      <c r="E7" s="216" t="s">
        <v>67</v>
      </c>
      <c r="F7" s="222">
        <v>40</v>
      </c>
      <c r="G7" s="15"/>
      <c r="H7" s="216" t="s">
        <v>73</v>
      </c>
      <c r="I7" s="222">
        <v>5</v>
      </c>
      <c r="J7" s="15"/>
      <c r="K7" s="216" t="s">
        <v>27</v>
      </c>
      <c r="L7" s="217">
        <v>390000</v>
      </c>
      <c r="M7" s="15"/>
      <c r="N7" s="216" t="s">
        <v>27</v>
      </c>
      <c r="O7" s="217">
        <v>390000</v>
      </c>
      <c r="P7" s="15"/>
      <c r="Q7" s="216" t="s">
        <v>82</v>
      </c>
      <c r="R7" s="222">
        <v>12</v>
      </c>
      <c r="S7" s="15"/>
      <c r="T7" s="216" t="s">
        <v>27</v>
      </c>
      <c r="U7" s="218">
        <v>40.666666666666664</v>
      </c>
      <c r="V7" s="222">
        <v>1</v>
      </c>
      <c r="W7" s="217">
        <v>390000</v>
      </c>
    </row>
    <row r="8" spans="1:23" x14ac:dyDescent="0.3">
      <c r="A8" s="15"/>
      <c r="B8" s="216" t="s">
        <v>37</v>
      </c>
      <c r="C8" s="222">
        <v>30</v>
      </c>
      <c r="D8" s="15"/>
      <c r="E8" s="216" t="s">
        <v>69</v>
      </c>
      <c r="F8" s="222">
        <v>2</v>
      </c>
      <c r="G8" s="15"/>
      <c r="H8" s="216" t="s">
        <v>74</v>
      </c>
      <c r="I8" s="222">
        <v>3</v>
      </c>
      <c r="J8" s="15"/>
      <c r="K8" s="216" t="s">
        <v>47</v>
      </c>
      <c r="L8" s="217">
        <v>1120000</v>
      </c>
      <c r="M8" s="15"/>
      <c r="N8" s="216" t="s">
        <v>47</v>
      </c>
      <c r="O8" s="217">
        <v>1120000</v>
      </c>
      <c r="P8" s="15"/>
      <c r="Q8" s="216" t="s">
        <v>83</v>
      </c>
      <c r="R8" s="222">
        <v>14</v>
      </c>
      <c r="S8" s="15"/>
      <c r="T8" s="216" t="s">
        <v>47</v>
      </c>
      <c r="U8" s="218">
        <v>46.642857142857146</v>
      </c>
      <c r="V8" s="222">
        <v>4</v>
      </c>
      <c r="W8" s="217">
        <v>1120000</v>
      </c>
    </row>
    <row r="9" spans="1:23" x14ac:dyDescent="0.3">
      <c r="A9" s="15"/>
      <c r="B9" s="15"/>
      <c r="C9" s="15"/>
      <c r="D9" s="15"/>
      <c r="E9" s="15"/>
      <c r="F9" s="15"/>
      <c r="G9" s="15"/>
      <c r="H9" s="216" t="s">
        <v>75</v>
      </c>
      <c r="I9" s="222">
        <v>54</v>
      </c>
      <c r="J9" s="15"/>
      <c r="K9" s="216" t="s">
        <v>38</v>
      </c>
      <c r="L9" s="217">
        <v>480000</v>
      </c>
      <c r="M9" s="15"/>
      <c r="N9" s="216" t="s">
        <v>38</v>
      </c>
      <c r="O9" s="217">
        <v>480000</v>
      </c>
      <c r="P9" s="15"/>
      <c r="Q9" s="216" t="s">
        <v>84</v>
      </c>
      <c r="R9" s="222">
        <v>19</v>
      </c>
      <c r="S9" s="15"/>
      <c r="T9" s="216" t="s">
        <v>38</v>
      </c>
      <c r="U9" s="218">
        <v>45.833333333333336</v>
      </c>
      <c r="V9" s="222">
        <v>1</v>
      </c>
      <c r="W9" s="217">
        <v>480000</v>
      </c>
    </row>
    <row r="10" spans="1:23" x14ac:dyDescent="0.3">
      <c r="A10" s="15"/>
      <c r="B10" s="15"/>
      <c r="C10" s="15"/>
      <c r="D10" s="15"/>
      <c r="E10" s="15"/>
      <c r="F10" s="15"/>
      <c r="G10" s="15"/>
      <c r="H10" s="15"/>
      <c r="I10" s="15"/>
      <c r="J10" s="15"/>
      <c r="K10" s="15"/>
      <c r="L10" s="15"/>
      <c r="M10" s="15"/>
      <c r="N10" s="216" t="s">
        <v>44</v>
      </c>
      <c r="O10" s="217">
        <v>1620000</v>
      </c>
      <c r="P10" s="15"/>
      <c r="Q10" s="216" t="s">
        <v>85</v>
      </c>
      <c r="R10" s="222">
        <v>8</v>
      </c>
      <c r="S10" s="15"/>
      <c r="T10" s="216" t="s">
        <v>44</v>
      </c>
      <c r="U10" s="218">
        <v>49.25925925925926</v>
      </c>
      <c r="V10" s="222">
        <v>10</v>
      </c>
      <c r="W10" s="217">
        <v>1620000</v>
      </c>
    </row>
    <row r="11" spans="1:23" x14ac:dyDescent="0.3">
      <c r="A11" s="15"/>
      <c r="B11" s="15"/>
      <c r="C11" s="15"/>
      <c r="D11" s="15"/>
      <c r="E11" s="15"/>
      <c r="F11" s="15"/>
      <c r="G11" s="15"/>
      <c r="H11" s="15"/>
      <c r="I11" s="15"/>
      <c r="J11" s="15"/>
      <c r="K11" s="15"/>
      <c r="L11" s="15"/>
      <c r="M11" s="15"/>
      <c r="N11" s="216" t="s">
        <v>49</v>
      </c>
      <c r="O11" s="217">
        <v>300000</v>
      </c>
      <c r="P11" s="15"/>
      <c r="Q11" s="216" t="s">
        <v>86</v>
      </c>
      <c r="R11" s="222">
        <v>9</v>
      </c>
      <c r="S11" s="15"/>
      <c r="T11" s="216" t="s">
        <v>49</v>
      </c>
      <c r="U11" s="218">
        <v>42.666666666666664</v>
      </c>
      <c r="V11" s="222">
        <v>0</v>
      </c>
      <c r="W11" s="217">
        <v>300000</v>
      </c>
    </row>
    <row r="12" spans="1:23" x14ac:dyDescent="0.3">
      <c r="A12" s="15"/>
      <c r="B12" s="15"/>
      <c r="C12" s="15"/>
      <c r="D12" s="15"/>
      <c r="E12" s="15"/>
      <c r="F12" s="15"/>
      <c r="G12" s="15"/>
      <c r="H12" s="214" t="s">
        <v>184</v>
      </c>
      <c r="I12" s="215" t="s">
        <v>191</v>
      </c>
      <c r="J12" s="15"/>
      <c r="K12" s="15"/>
      <c r="L12" s="15"/>
      <c r="M12" s="15"/>
      <c r="N12" s="216" t="s">
        <v>48</v>
      </c>
      <c r="O12" s="217">
        <v>150000</v>
      </c>
      <c r="P12" s="15"/>
      <c r="Q12" s="15"/>
      <c r="R12" s="15"/>
      <c r="S12" s="15"/>
      <c r="T12" s="216" t="s">
        <v>48</v>
      </c>
      <c r="U12" s="218">
        <v>44</v>
      </c>
      <c r="V12" s="222">
        <v>0</v>
      </c>
      <c r="W12" s="217">
        <v>150000</v>
      </c>
    </row>
    <row r="13" spans="1:23" x14ac:dyDescent="0.3">
      <c r="A13" s="15"/>
      <c r="B13" s="15"/>
      <c r="C13" s="15"/>
      <c r="D13" s="15"/>
      <c r="E13" s="15"/>
      <c r="F13" s="15"/>
      <c r="G13" s="15"/>
      <c r="H13" s="216" t="s">
        <v>73</v>
      </c>
      <c r="I13" s="222">
        <v>7</v>
      </c>
      <c r="J13" s="15"/>
      <c r="K13" s="15"/>
      <c r="L13" s="15"/>
      <c r="M13" s="15"/>
      <c r="N13" s="216" t="s">
        <v>192</v>
      </c>
      <c r="O13" s="217">
        <v>4660000</v>
      </c>
      <c r="P13" s="15"/>
      <c r="Q13" s="15"/>
      <c r="R13" s="15"/>
      <c r="S13" s="15"/>
      <c r="T13" s="15"/>
      <c r="U13" s="15"/>
      <c r="V13" s="15"/>
      <c r="W13" s="15"/>
    </row>
    <row r="14" spans="1:23" x14ac:dyDescent="0.3">
      <c r="A14" s="15"/>
      <c r="B14" s="15"/>
      <c r="C14" s="15"/>
      <c r="D14" s="15"/>
      <c r="E14" s="15"/>
      <c r="F14" s="15"/>
      <c r="G14" s="15"/>
      <c r="H14" s="216" t="s">
        <v>74</v>
      </c>
      <c r="I14" s="222">
        <v>4</v>
      </c>
      <c r="J14" s="15"/>
      <c r="K14" s="15"/>
      <c r="L14" s="15"/>
      <c r="M14" s="15"/>
      <c r="N14" s="15"/>
      <c r="O14" s="15"/>
      <c r="P14" s="15"/>
      <c r="Q14" s="15"/>
      <c r="R14" s="15"/>
      <c r="S14" s="15"/>
      <c r="T14" s="15"/>
      <c r="U14" s="15"/>
      <c r="V14" s="15"/>
      <c r="W14" s="15"/>
    </row>
    <row r="15" spans="1:23" x14ac:dyDescent="0.3">
      <c r="A15" s="15"/>
      <c r="B15" s="15"/>
      <c r="C15" s="15"/>
      <c r="D15" s="15"/>
      <c r="E15" s="15"/>
      <c r="F15" s="15"/>
      <c r="G15" s="15"/>
      <c r="H15" s="216" t="s">
        <v>75</v>
      </c>
      <c r="I15" s="222">
        <v>51</v>
      </c>
      <c r="J15" s="15"/>
      <c r="K15" s="15"/>
      <c r="L15" s="15"/>
      <c r="M15" s="15"/>
      <c r="N15" s="15"/>
      <c r="O15" s="15"/>
      <c r="P15" s="15"/>
      <c r="Q15" s="15"/>
      <c r="R15" s="15"/>
      <c r="S15" s="15"/>
      <c r="T15" s="15"/>
      <c r="U15" s="15"/>
      <c r="V15" s="15"/>
      <c r="W15" s="15"/>
    </row>
    <row r="16" spans="1:23" x14ac:dyDescent="0.3">
      <c r="A16" s="15"/>
      <c r="B16" s="15"/>
      <c r="C16" s="15"/>
      <c r="D16" s="15"/>
      <c r="E16" s="15"/>
      <c r="F16" s="15"/>
      <c r="G16" s="15"/>
      <c r="J16" s="15"/>
      <c r="K16" s="15"/>
      <c r="L16" s="15"/>
      <c r="M16" s="15"/>
      <c r="N16" s="15"/>
      <c r="O16" s="15"/>
      <c r="P16" s="15"/>
      <c r="Q16" s="15"/>
      <c r="R16" s="15"/>
      <c r="S16" s="15"/>
      <c r="T16" s="15"/>
      <c r="U16" s="15"/>
      <c r="V16" s="15"/>
      <c r="W16" s="15"/>
    </row>
  </sheetData>
  <mergeCells count="1">
    <mergeCell ref="B2:N2"/>
  </mergeCells>
  <pageMargins left="0.7" right="0.7" top="0.75" bottom="0.75" header="0.3" footer="0.3"/>
  <pageSetup orientation="portrait"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1. Introduction</vt:lpstr>
      <vt:lpstr>2. Data Review</vt:lpstr>
      <vt:lpstr>3. Setup &amp; Role Data</vt:lpstr>
      <vt:lpstr>4. Employee Info</vt:lpstr>
      <vt:lpstr>5. Workforce Profile</vt:lpstr>
      <vt:lpstr>6. Role Evaluation</vt:lpstr>
      <vt:lpstr>7. Demand &amp; Supply Forecast</vt:lpstr>
      <vt:lpstr>8. Forecast Summary</vt:lpstr>
      <vt:lpstr>9. Action Plan</vt:lpstr>
      <vt:lpstr>Hidden-Forecast Calculations</vt:lpstr>
      <vt:lpstr>Hidden-Menus</vt:lpstr>
      <vt:lpstr>Hidden-Dashboard1</vt:lpstr>
      <vt:lpstr>action</vt:lpstr>
      <vt:lpstr>Answer</vt:lpstr>
      <vt:lpstr>change</vt:lpstr>
      <vt:lpstr>change2</vt:lpstr>
      <vt:lpstr>Classification</vt:lpstr>
      <vt:lpstr>Dept</vt:lpstr>
      <vt:lpstr>Diversity</vt:lpstr>
      <vt:lpstr>gender</vt:lpstr>
      <vt:lpstr>Include</vt:lpstr>
      <vt:lpstr>level</vt:lpstr>
      <vt:lpstr>quality</vt:lpstr>
      <vt:lpstr>Role</vt:lpstr>
      <vt:lpstr>roleclass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2019-11-21T18:22:12Z</dcterms:created>
  <dcterms:modified xsi:type="dcterms:W3CDTF">2020-03-19T12:20:49Z</dcterms:modified>
  <cp:category/>
  <cp:contentStatus/>
</cp:coreProperties>
</file>